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dshahjalalmazumder/Downloads/"/>
    </mc:Choice>
  </mc:AlternateContent>
  <xr:revisionPtr revIDLastSave="0" documentId="13_ncr:1_{A37AEA53-7C70-E045-87AF-628AA669D643}" xr6:coauthVersionLast="47" xr6:coauthVersionMax="47" xr10:uidLastSave="{00000000-0000-0000-0000-000000000000}"/>
  <bookViews>
    <workbookView xWindow="0" yWindow="0" windowWidth="38400" windowHeight="21600" tabRatio="500" activeTab="2" xr2:uid="{00000000-000D-0000-FFFF-FFFF00000000}"/>
  </bookViews>
  <sheets>
    <sheet name="Overview" sheetId="1" r:id="rId1"/>
    <sheet name="Schedule" sheetId="2" r:id="rId2"/>
    <sheet name="Sprint 1" sheetId="3" r:id="rId3"/>
    <sheet name="Sprint 2" sheetId="4" r:id="rId4"/>
    <sheet name="Sprint 3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5" l="1"/>
  <c r="I30" i="5"/>
  <c r="H30" i="5"/>
  <c r="G30" i="5"/>
  <c r="F30" i="5"/>
  <c r="E30" i="5"/>
  <c r="I23" i="5"/>
  <c r="H23" i="5"/>
  <c r="G23" i="5"/>
  <c r="F23" i="5"/>
  <c r="E23" i="5"/>
  <c r="I16" i="5"/>
  <c r="H16" i="5"/>
  <c r="G16" i="5"/>
  <c r="F16" i="5"/>
  <c r="E16" i="5"/>
  <c r="I9" i="5"/>
  <c r="H9" i="5"/>
  <c r="G9" i="5"/>
  <c r="F9" i="5"/>
  <c r="E9" i="5"/>
  <c r="I2" i="5"/>
  <c r="I36" i="5" s="1"/>
  <c r="H2" i="5"/>
  <c r="H36" i="5" s="1"/>
  <c r="G2" i="5"/>
  <c r="G36" i="5" s="1"/>
  <c r="F2" i="5"/>
  <c r="F36" i="5" s="1"/>
  <c r="E2" i="5"/>
  <c r="E36" i="5" s="1"/>
  <c r="H7" i="1" s="1"/>
  <c r="D32" i="4"/>
  <c r="I24" i="4"/>
  <c r="H24" i="4"/>
  <c r="G24" i="4"/>
  <c r="F24" i="4"/>
  <c r="E24" i="4"/>
  <c r="I16" i="4"/>
  <c r="H16" i="4"/>
  <c r="G16" i="4"/>
  <c r="F16" i="4"/>
  <c r="E16" i="4"/>
  <c r="I9" i="4"/>
  <c r="H9" i="4"/>
  <c r="H32" i="4" s="1"/>
  <c r="G9" i="4"/>
  <c r="F9" i="4"/>
  <c r="F32" i="4" s="1"/>
  <c r="E9" i="4"/>
  <c r="I2" i="4"/>
  <c r="I32" i="4" s="1"/>
  <c r="H2" i="4"/>
  <c r="G2" i="4"/>
  <c r="G32" i="4" s="1"/>
  <c r="F2" i="4"/>
  <c r="E2" i="4"/>
  <c r="E32" i="4" s="1"/>
  <c r="H6" i="1" s="1"/>
  <c r="D31" i="3"/>
  <c r="I23" i="3"/>
  <c r="H23" i="3"/>
  <c r="G23" i="3"/>
  <c r="F23" i="3"/>
  <c r="E23" i="3"/>
  <c r="I16" i="3"/>
  <c r="H16" i="3"/>
  <c r="G16" i="3"/>
  <c r="F16" i="3"/>
  <c r="E16" i="3"/>
  <c r="I9" i="3"/>
  <c r="H9" i="3"/>
  <c r="H31" i="3" s="1"/>
  <c r="G9" i="3"/>
  <c r="F9" i="3"/>
  <c r="F31" i="3" s="1"/>
  <c r="E9" i="3"/>
  <c r="I2" i="3"/>
  <c r="I31" i="3" s="1"/>
  <c r="H2" i="3"/>
  <c r="G2" i="3"/>
  <c r="G31" i="3" s="1"/>
  <c r="F2" i="3"/>
  <c r="E2" i="3"/>
  <c r="E31" i="3" s="1"/>
  <c r="H5" i="1" s="1"/>
  <c r="F101" i="2"/>
  <c r="F100" i="2"/>
  <c r="F99" i="2"/>
  <c r="F98" i="2"/>
  <c r="F97" i="2"/>
  <c r="E96" i="2"/>
  <c r="F96" i="2" s="1"/>
  <c r="D96" i="2"/>
  <c r="F95" i="2"/>
  <c r="F94" i="2"/>
  <c r="F93" i="2"/>
  <c r="F92" i="2"/>
  <c r="F91" i="2"/>
  <c r="F90" i="2"/>
  <c r="F89" i="2"/>
  <c r="E89" i="2"/>
  <c r="D89" i="2"/>
  <c r="F88" i="2"/>
  <c r="F87" i="2"/>
  <c r="F86" i="2"/>
  <c r="F85" i="2"/>
  <c r="F84" i="2"/>
  <c r="F83" i="2"/>
  <c r="F82" i="2"/>
  <c r="E82" i="2"/>
  <c r="D82" i="2"/>
  <c r="F81" i="2"/>
  <c r="F80" i="2"/>
  <c r="F79" i="2"/>
  <c r="F78" i="2"/>
  <c r="F77" i="2"/>
  <c r="F76" i="2"/>
  <c r="E75" i="2"/>
  <c r="D75" i="2"/>
  <c r="F75" i="2" s="1"/>
  <c r="F74" i="2"/>
  <c r="F73" i="2"/>
  <c r="F72" i="2"/>
  <c r="F71" i="2"/>
  <c r="F70" i="2"/>
  <c r="F69" i="2"/>
  <c r="E68" i="2"/>
  <c r="F68" i="2" s="1"/>
  <c r="D68" i="2"/>
  <c r="F67" i="2"/>
  <c r="F66" i="2"/>
  <c r="F65" i="2"/>
  <c r="F64" i="2"/>
  <c r="F63" i="2"/>
  <c r="F62" i="2"/>
  <c r="F61" i="2"/>
  <c r="F60" i="2"/>
  <c r="E59" i="2"/>
  <c r="D59" i="2"/>
  <c r="F59" i="2" s="1"/>
  <c r="F58" i="2"/>
  <c r="F57" i="2"/>
  <c r="F56" i="2"/>
  <c r="F55" i="2"/>
  <c r="F54" i="2"/>
  <c r="F53" i="2"/>
  <c r="F52" i="2"/>
  <c r="F51" i="2"/>
  <c r="E51" i="2"/>
  <c r="D51" i="2"/>
  <c r="F50" i="2"/>
  <c r="F49" i="2"/>
  <c r="F48" i="2"/>
  <c r="F47" i="2"/>
  <c r="F46" i="2"/>
  <c r="F45" i="2"/>
  <c r="F44" i="2"/>
  <c r="E44" i="2"/>
  <c r="D44" i="2"/>
  <c r="F43" i="2"/>
  <c r="F42" i="2"/>
  <c r="F41" i="2"/>
  <c r="F40" i="2"/>
  <c r="F39" i="2"/>
  <c r="F38" i="2"/>
  <c r="E37" i="2"/>
  <c r="D37" i="2"/>
  <c r="F37" i="2" s="1"/>
  <c r="F36" i="2"/>
  <c r="F35" i="2"/>
  <c r="F34" i="2"/>
  <c r="F33" i="2"/>
  <c r="F32" i="2"/>
  <c r="F31" i="2"/>
  <c r="F30" i="2"/>
  <c r="F29" i="2"/>
  <c r="F28" i="2"/>
  <c r="E28" i="2"/>
  <c r="D28" i="2"/>
  <c r="F27" i="2"/>
  <c r="F26" i="2"/>
  <c r="F25" i="2"/>
  <c r="F24" i="2"/>
  <c r="F23" i="2"/>
  <c r="F22" i="2"/>
  <c r="E21" i="2"/>
  <c r="D21" i="2"/>
  <c r="F21" i="2" s="1"/>
  <c r="F20" i="2"/>
  <c r="F19" i="2"/>
  <c r="F18" i="2"/>
  <c r="F17" i="2"/>
  <c r="F16" i="2"/>
  <c r="F15" i="2"/>
  <c r="E14" i="2"/>
  <c r="F14" i="2" s="1"/>
  <c r="D14" i="2"/>
  <c r="F13" i="2"/>
  <c r="F12" i="2"/>
  <c r="F11" i="2"/>
  <c r="F10" i="2"/>
  <c r="F9" i="2"/>
  <c r="F8" i="2"/>
  <c r="F7" i="2"/>
  <c r="E7" i="2"/>
  <c r="D7" i="2"/>
  <c r="F6" i="2"/>
  <c r="H16" i="1"/>
  <c r="G16" i="1"/>
  <c r="F16" i="1"/>
  <c r="I16" i="1" s="1"/>
  <c r="D16" i="1"/>
  <c r="C16" i="1"/>
  <c r="B16" i="1"/>
  <c r="E16" i="1" s="1"/>
  <c r="H15" i="1"/>
  <c r="G15" i="1"/>
  <c r="F15" i="1"/>
  <c r="I15" i="1" s="1"/>
  <c r="D15" i="1"/>
  <c r="C15" i="1"/>
  <c r="B15" i="1"/>
  <c r="E15" i="1" s="1"/>
  <c r="H14" i="1"/>
  <c r="G14" i="1"/>
  <c r="F14" i="1"/>
  <c r="I14" i="1" s="1"/>
  <c r="D14" i="1"/>
  <c r="C14" i="1"/>
  <c r="B14" i="1"/>
  <c r="E14" i="1" s="1"/>
  <c r="H13" i="1"/>
  <c r="G13" i="1"/>
  <c r="F13" i="1"/>
  <c r="I13" i="1" s="1"/>
  <c r="D13" i="1"/>
  <c r="C13" i="1"/>
  <c r="B13" i="1"/>
  <c r="E13" i="1" s="1"/>
  <c r="H12" i="1"/>
  <c r="H17" i="1" s="1"/>
  <c r="G12" i="1"/>
  <c r="G17" i="1" s="1"/>
  <c r="F12" i="1"/>
  <c r="F17" i="1" s="1"/>
  <c r="D12" i="1"/>
  <c r="D17" i="1" s="1"/>
  <c r="C12" i="1"/>
  <c r="C17" i="1" s="1"/>
  <c r="B12" i="1"/>
  <c r="B17" i="1" s="1"/>
  <c r="G7" i="1"/>
  <c r="D7" i="1"/>
  <c r="G6" i="1"/>
  <c r="D6" i="1"/>
  <c r="G5" i="1"/>
  <c r="G8" i="1" s="1"/>
  <c r="D5" i="1"/>
  <c r="H8" i="1" l="1"/>
  <c r="E12" i="1"/>
  <c r="E17" i="1" s="1"/>
  <c r="I12" i="1"/>
  <c r="I17" i="1" s="1"/>
</calcChain>
</file>

<file path=xl/sharedStrings.xml><?xml version="1.0" encoding="utf-8"?>
<sst xmlns="http://schemas.openxmlformats.org/spreadsheetml/2006/main" count="544" uniqueCount="206">
  <si>
    <t>RedditSummit – 3-Sprint Plan</t>
  </si>
  <si>
    <t>Team: Jalal, Khan, Wesley, Ayman  |  Plan window: 9/22/2026 – 11/19/2026</t>
  </si>
  <si>
    <t>Sprint</t>
  </si>
  <si>
    <t>Start</t>
  </si>
  <si>
    <t>End</t>
  </si>
  <si>
    <t>Days</t>
  </si>
  <si>
    <t>Goal</t>
  </si>
  <si>
    <t>Check-in dates</t>
  </si>
  <si>
    <t>Points</t>
  </si>
  <si>
    <t>Est. Hrs</t>
  </si>
  <si>
    <t>Sprint 1</t>
  </si>
  <si>
    <t>Foundation: accounts, login, create post, post feed</t>
  </si>
  <si>
    <t>9/28, 10/2, 10/6, 10/10</t>
  </si>
  <si>
    <t>Sprint 2</t>
  </si>
  <si>
    <t>Discussion: replies, category filter, anonymous posting, my activity</t>
  </si>
  <si>
    <t>10/16, 10/20, 10/24, 10/29</t>
  </si>
  <si>
    <t>Sprint 3</t>
  </si>
  <si>
    <t>AI summary twist, likes, testing, final demo</t>
  </si>
  <si>
    <t>11/5, 11/9, 11/13, 11/17</t>
  </si>
  <si>
    <t>Total</t>
  </si>
  <si>
    <t>Workload by member</t>
  </si>
  <si>
    <t>Member</t>
  </si>
  <si>
    <t>S1 Points</t>
  </si>
  <si>
    <t>S2 Points</t>
  </si>
  <si>
    <t>S3 Points</t>
  </si>
  <si>
    <t>Total Points</t>
  </si>
  <si>
    <t>S1 Hrs</t>
  </si>
  <si>
    <t>S2 Hrs</t>
  </si>
  <si>
    <t>S3 Hrs</t>
  </si>
  <si>
    <t>Total Hrs</t>
  </si>
  <si>
    <t>Jalal</t>
  </si>
  <si>
    <t>Khan</t>
  </si>
  <si>
    <t>Wesley</t>
  </si>
  <si>
    <t>Ayman</t>
  </si>
  <si>
    <t>All (team story)</t>
  </si>
  <si>
    <t>Assumptions &amp; notes</t>
  </si>
  <si>
    <t>• Sprint lengths: S1 20 days, S2 20 days, S3 19 days; each sprint ends with a review &amp; retrospective (S3 ends with the final demo on 11/19).</t>
  </si>
  <si>
    <t>• Points use a Fibonacci scale (3/5/8); hours are initial team estimates — adjust them in the sprint tabs during planning.</t>
  </si>
  <si>
    <t>• AI summary reply threshold is assumed to be 5 replies (the backlog doesn't set a number) — confirm with the team.</t>
  </si>
  <si>
    <t>• 'Like a post' and 'Like a comment' come from the workflow diagram but are not in the product backlog; they are planned last (Sprint 3) so they can be dropped if time runs short.</t>
  </si>
  <si>
    <t>• Sprint order builds dependencies first: accounts → posts → replies/categories → anonymous posting → AI summary.</t>
  </si>
  <si>
    <t>• How to use: fill Hrs Left on task rows in each Sprint tab at every check-in; story rows, totals, and this overview update automatically.</t>
  </si>
  <si>
    <t>RedditSummit – Sprint Schedule (9/22/2026 – 11/19/2026)</t>
  </si>
  <si>
    <t>Bars are colored by owner. Gray columns are weekends. ◆ = sprint review / milestone. Change Start/End dates and the bars move.</t>
  </si>
  <si>
    <t>September 2026</t>
  </si>
  <si>
    <t>October 2026</t>
  </si>
  <si>
    <t>November 2026</t>
  </si>
  <si>
    <t>T</t>
  </si>
  <si>
    <t>W</t>
  </si>
  <si>
    <t>F</t>
  </si>
  <si>
    <t>S</t>
  </si>
  <si>
    <t>M</t>
  </si>
  <si>
    <t>Owner</t>
  </si>
  <si>
    <t>Work item</t>
  </si>
  <si>
    <t>S1</t>
  </si>
  <si>
    <t>As a user, I can register for an account with a unique username and email.</t>
  </si>
  <si>
    <t xml:space="preserve">    Set up backend project, database, and users table</t>
  </si>
  <si>
    <t xml:space="preserve">    Build registration API with password hashing and duplicate checks</t>
  </si>
  <si>
    <t xml:space="preserve">    Create registration screen UI</t>
  </si>
  <si>
    <t xml:space="preserve">    Add input validation and error messages</t>
  </si>
  <si>
    <t xml:space="preserve">    Review &amp; check-in</t>
  </si>
  <si>
    <t xml:space="preserve">    Document</t>
  </si>
  <si>
    <t>As a user, I can log in and stay logged in while I use the app.</t>
  </si>
  <si>
    <t xml:space="preserve">    Build login API with token-based session</t>
  </si>
  <si>
    <t xml:space="preserve">    Create login screen UI</t>
  </si>
  <si>
    <t xml:space="preserve">    Persist session across app restarts and add logout</t>
  </si>
  <si>
    <t xml:space="preserve">    Require login before creating posts or replies</t>
  </si>
  <si>
    <t>As a user, I can create a post with a title, description, and category.</t>
  </si>
  <si>
    <t xml:space="preserve">    Create posts and categories tables; seed predefined categories</t>
  </si>
  <si>
    <t xml:space="preserve">    Build create-post API (logged-in users only)</t>
  </si>
  <si>
    <t xml:space="preserve">    Create post composer screen with category picker</t>
  </si>
  <si>
    <t xml:space="preserve">    Validate title, description, and required category</t>
  </si>
  <si>
    <t>As a user, I can browse posts created by other users in a feed.</t>
  </si>
  <si>
    <t xml:space="preserve">    Set up mobile app skeleton and screen navigation</t>
  </si>
  <si>
    <t xml:space="preserve">    Build feed API (newest first, paginated)</t>
  </si>
  <si>
    <t xml:space="preserve">    Create feed screen with post cards (title, category, author, reply count)</t>
  </si>
  <si>
    <t xml:space="preserve">    Add pull-to-refresh plus loading and empty states</t>
  </si>
  <si>
    <t>All</t>
  </si>
  <si>
    <t>◆ Sprint 1 review &amp; retrospective</t>
  </si>
  <si>
    <t>S2</t>
  </si>
  <si>
    <t>As a user, I can open a post and reply to the discussion.</t>
  </si>
  <si>
    <t xml:space="preserve">    Create replies table linked to post and author</t>
  </si>
  <si>
    <t xml:space="preserve">    Build reply API; update reply count in the same transaction</t>
  </si>
  <si>
    <t xml:space="preserve">    Create post detail screen showing the full discussion</t>
  </si>
  <si>
    <t xml:space="preserve">    Add reply composer so new replies appear in the thread</t>
  </si>
  <si>
    <t>As a user, I can browse and filter posts by category.</t>
  </si>
  <si>
    <t xml:space="preserve">    Add category filter to the feed API</t>
  </si>
  <si>
    <t xml:space="preserve">    Build category filter chips on the feed screen</t>
  </si>
  <si>
    <t xml:space="preserve">    Show category label on post cards and post detail</t>
  </si>
  <si>
    <t xml:space="preserve">    Handle categories with no posts (empty state)</t>
  </si>
  <si>
    <t>As a user, I can publish a post anonymously.</t>
  </si>
  <si>
    <t xml:space="preserve">    Add is_anonymous field while keeping the internal author link</t>
  </si>
  <si>
    <t xml:space="preserve">    Strip author identity from API responses for anonymous posts</t>
  </si>
  <si>
    <t xml:space="preserve">    Add Anonymous Post toggle to the post composer</t>
  </si>
  <si>
    <t xml:space="preserve">    Show 'Anonymous' on feed/detail; label author's own replies 'Anonymous (OP)'</t>
  </si>
  <si>
    <t xml:space="preserve">    Write privacy tests: no identity leaks through API or UI</t>
  </si>
  <si>
    <t>As a user, I can view my own posts and replies.</t>
  </si>
  <si>
    <t xml:space="preserve">    Build my-activity API (visible only to the owner)</t>
  </si>
  <si>
    <t xml:space="preserve">    Create My Posts &amp; Replies screen</t>
  </si>
  <si>
    <t xml:space="preserve">    Enforce ownership checks so users can't modify others' content</t>
  </si>
  <si>
    <t xml:space="preserve">    Include my anonymous posts, marked as anonymous</t>
  </si>
  <si>
    <t>◆ Sprint 2 review &amp; retrospective</t>
  </si>
  <si>
    <t>S3</t>
  </si>
  <si>
    <t>As a user, I can view an AI summary once a post reaches the reply threshold.</t>
  </si>
  <si>
    <t xml:space="preserve">    Create summaries table (text, generated time, reply count at generation)</t>
  </si>
  <si>
    <t xml:space="preserve">    Build server-side LLM service; API key kept in server environment</t>
  </si>
  <si>
    <t xml:space="preserve">    Design summary prompt: send reply text only, no account info</t>
  </si>
  <si>
    <t xml:space="preserve">    Build summarize endpoint with threshold check and error handling</t>
  </si>
  <si>
    <t>As a user, I can refresh the AI summary after new replies are added.</t>
  </si>
  <si>
    <t xml:space="preserve">    Detect replies added since the last summary</t>
  </si>
  <si>
    <t xml:space="preserve">    Build refresh endpoint that uses the updated set of replies</t>
  </si>
  <si>
    <t xml:space="preserve">    Prevent duplicate refreshes (in-progress lock and rate limit)</t>
  </si>
  <si>
    <t xml:space="preserve">    Show Refresh button only when new replies exist</t>
  </si>
  <si>
    <t>As a user, I can see the summary clearly labeled as AI-generated.</t>
  </si>
  <si>
    <t xml:space="preserve">    Build summary panel on the post detail screen</t>
  </si>
  <si>
    <t xml:space="preserve">    Add 'AI-generated' label and generation timestamp</t>
  </si>
  <si>
    <t xml:space="preserve">    Hide the summary option below the reply threshold</t>
  </si>
  <si>
    <t xml:space="preserve">    Add loading and error states for summary requests</t>
  </si>
  <si>
    <t>As a user, I can like posts and comments.</t>
  </si>
  <si>
    <t xml:space="preserve">    Create likes table (one like per user per item)</t>
  </si>
  <si>
    <t xml:space="preserve">    Build like/unlike API for posts and replies</t>
  </si>
  <si>
    <t xml:space="preserve">    Add like buttons and counts to feed, post detail, and replies</t>
  </si>
  <si>
    <t xml:space="preserve">    Update like counts instantly without reloading</t>
  </si>
  <si>
    <t>As a team, we deliver a tested, demo-ready release.</t>
  </si>
  <si>
    <t xml:space="preserve">    End-to-end testing of all main workflows</t>
  </si>
  <si>
    <t xml:space="preserve">    Fix bugs found in testing</t>
  </si>
  <si>
    <t xml:space="preserve">    Prepare final presentation and demo</t>
  </si>
  <si>
    <t xml:space="preserve">    Final documentation and backlog update</t>
  </si>
  <si>
    <t>◆ Final demo &amp; submission</t>
  </si>
  <si>
    <t>Owner colors</t>
  </si>
  <si>
    <t>All (whole team)</t>
  </si>
  <si>
    <t>Task dates are a starting plan: development tasks are laid out in sequence in proportion to their estimated hours; review and documentation fill the last days before each sprint review.</t>
  </si>
  <si>
    <t>User Story</t>
  </si>
  <si>
    <t>Task</t>
  </si>
  <si>
    <t>Est. (Hrs)</t>
  </si>
  <si>
    <t>Hrs Left (9/28)</t>
  </si>
  <si>
    <t>Hrs Left (10/2)</t>
  </si>
  <si>
    <t>Hrs Left (10/6)</t>
  </si>
  <si>
    <t>Hrs Left (10/10)</t>
  </si>
  <si>
    <t>Set up backend project, database, and users table</t>
  </si>
  <si>
    <t>Build registration API with password hashing and duplicate checks</t>
  </si>
  <si>
    <t>Create registration screen UI</t>
  </si>
  <si>
    <t>Add input validation and error messages</t>
  </si>
  <si>
    <t>Review &amp; check-in</t>
  </si>
  <si>
    <t>Document</t>
  </si>
  <si>
    <t>Build login API with token-based session</t>
  </si>
  <si>
    <t>Create login screen UI</t>
  </si>
  <si>
    <t>Persist session across app restarts and add logout</t>
  </si>
  <si>
    <t>Require login before creating posts or replies</t>
  </si>
  <si>
    <t>Create posts and categories tables; seed predefined categories</t>
  </si>
  <si>
    <t>Build create-post API (logged-in users only)</t>
  </si>
  <si>
    <t>Create post composer screen with category picker</t>
  </si>
  <si>
    <t>Validate title, description, and required category</t>
  </si>
  <si>
    <t>Set up mobile app skeleton and screen navigation</t>
  </si>
  <si>
    <t>Build feed API (newest first, paginated)</t>
  </si>
  <si>
    <t>Create feed screen with post cards (title, category, author, reply count)</t>
  </si>
  <si>
    <t>Add pull-to-refresh plus loading and empty states</t>
  </si>
  <si>
    <t>Sprint 1: 9/22/2026 – 10/11/2026. Goal: Foundation: accounts, login, create post, post feed.</t>
  </si>
  <si>
    <t>Fill in Hrs Left on task rows at each check-in; story and total rows add up automatically.</t>
  </si>
  <si>
    <t>Hrs Left (10/16)</t>
  </si>
  <si>
    <t>Hrs Left (10/20)</t>
  </si>
  <si>
    <t>Hrs Left (10/24)</t>
  </si>
  <si>
    <t>Hrs Left (10/29)</t>
  </si>
  <si>
    <t>Create replies table linked to post and author</t>
  </si>
  <si>
    <t>Build reply API; update reply count in the same transaction</t>
  </si>
  <si>
    <t>Create post detail screen showing the full discussion</t>
  </si>
  <si>
    <t>Add reply composer so new replies appear in the thread</t>
  </si>
  <si>
    <t>Add category filter to the feed API</t>
  </si>
  <si>
    <t>Build category filter chips on the feed screen</t>
  </si>
  <si>
    <t>Show category label on post cards and post detail</t>
  </si>
  <si>
    <t>Handle categories with no posts (empty state)</t>
  </si>
  <si>
    <t>Add is_anonymous field while keeping the internal author link</t>
  </si>
  <si>
    <t>Strip author identity from API responses for anonymous posts</t>
  </si>
  <si>
    <t>Add Anonymous Post toggle to the post composer</t>
  </si>
  <si>
    <t>Show 'Anonymous' on feed/detail; label author's own replies 'Anonymous (OP)'</t>
  </si>
  <si>
    <t>Write privacy tests: no identity leaks through API or UI</t>
  </si>
  <si>
    <t>Build my-activity API (visible only to the owner)</t>
  </si>
  <si>
    <t>Create My Posts &amp; Replies screen</t>
  </si>
  <si>
    <t>Enforce ownership checks so users can't modify others' content</t>
  </si>
  <si>
    <t>Include my anonymous posts, marked as anonymous</t>
  </si>
  <si>
    <t>Sprint 2: 10/12/2026 – 10/31/2026. Goal: Discussion: replies, category filter, anonymous posting, my activity.</t>
  </si>
  <si>
    <t>Hrs Left (11/5)</t>
  </si>
  <si>
    <t>Hrs Left (11/9)</t>
  </si>
  <si>
    <t>Hrs Left (11/13)</t>
  </si>
  <si>
    <t>Hrs Left (11/17)</t>
  </si>
  <si>
    <t>Create summaries table (text, generated time, reply count at generation)</t>
  </si>
  <si>
    <t>Build server-side LLM service; API key kept in server environment</t>
  </si>
  <si>
    <t>Design summary prompt: send reply text only, no account info</t>
  </si>
  <si>
    <t>Build summarize endpoint with threshold check and error handling</t>
  </si>
  <si>
    <t>Detect replies added since the last summary</t>
  </si>
  <si>
    <t>Build refresh endpoint that uses the updated set of replies</t>
  </si>
  <si>
    <t>Prevent duplicate refreshes (in-progress lock and rate limit)</t>
  </si>
  <si>
    <t>Show Refresh button only when new replies exist</t>
  </si>
  <si>
    <t>Build summary panel on the post detail screen</t>
  </si>
  <si>
    <t>Add 'AI-generated' label and generation timestamp</t>
  </si>
  <si>
    <t>Hide the summary option below the reply threshold</t>
  </si>
  <si>
    <t>Add loading and error states for summary requests</t>
  </si>
  <si>
    <t>Create likes table (one like per user per item)</t>
  </si>
  <si>
    <t>Build like/unlike API for posts and replies</t>
  </si>
  <si>
    <t>Add like buttons and counts to feed, post detail, and replies</t>
  </si>
  <si>
    <t>Update like counts instantly without reloading</t>
  </si>
  <si>
    <t>End-to-end testing of all main workflows</t>
  </si>
  <si>
    <t>Fix bugs found in testing</t>
  </si>
  <si>
    <t>Prepare final presentation and demo</t>
  </si>
  <si>
    <t>Final documentation and backlog update</t>
  </si>
  <si>
    <t>Sprint 3: 11/1/2026 – 11/19/2026. Goal: AI summary twist, likes, testing, final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</si>
</sst>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5" x14ac:knownFonts="1">
    <font>
      <sz val="10"/>
      <color rgb="FF000000"/>
      <name val="Arial"/>
      <charset val="1"/>
    </font>
    <font>
      <b/>
      <sz val="14"/>
      <name val="Arial"/>
      <charset val="1"/>
    </font>
    <font>
      <sz val="11"/>
      <color rgb="FF595959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i/>
      <sz val="11"/>
      <color rgb="FF595959"/>
      <name val="Arial"/>
      <charset val="1"/>
    </font>
    <font>
      <b/>
      <sz val="9"/>
      <name val="Arial"/>
      <charset val="1"/>
    </font>
    <font>
      <sz val="7"/>
      <color rgb="FF7F7F7F"/>
      <name val="Arial"/>
      <charset val="1"/>
    </font>
    <font>
      <b/>
      <sz val="8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sz val="9"/>
      <name val="Arial"/>
      <charset val="1"/>
    </font>
    <font>
      <i/>
      <sz val="9"/>
      <color rgb="FF595959"/>
      <name val="Arial"/>
      <charset val="1"/>
    </font>
    <font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0D0D0"/>
      </patternFill>
    </fill>
    <fill>
      <patternFill patternType="solid">
        <fgColor rgb="FFF2F2F2"/>
        <bgColor rgb="FFEDEDED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59595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3" fillId="2" borderId="0" xfId="0" applyFont="1" applyFill="1"/>
    <xf numFmtId="164" fontId="9" fillId="2" borderId="0" xfId="0" applyNumberFormat="1" applyFont="1" applyFill="1" applyAlignment="1">
      <alignment horizontal="center"/>
    </xf>
    <xf numFmtId="0" fontId="7" fillId="3" borderId="1" xfId="0" applyFont="1" applyFill="1" applyBorder="1"/>
    <xf numFmtId="0" fontId="10" fillId="3" borderId="1" xfId="0" applyFont="1" applyFill="1" applyBorder="1"/>
    <xf numFmtId="14" fontId="10" fillId="3" borderId="1" xfId="0" applyNumberFormat="1" applyFont="1" applyFill="1" applyBorder="1"/>
    <xf numFmtId="0" fontId="10" fillId="0" borderId="1" xfId="0" applyFont="1" applyBorder="1"/>
    <xf numFmtId="0" fontId="7" fillId="0" borderId="1" xfId="0" applyFont="1" applyBorder="1"/>
    <xf numFmtId="14" fontId="10" fillId="0" borderId="1" xfId="0" applyNumberFormat="1" applyFont="1" applyBorder="1"/>
    <xf numFmtId="0" fontId="11" fillId="0" borderId="1" xfId="0" applyFont="1" applyBorder="1"/>
    <xf numFmtId="0" fontId="1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3" fillId="0" borderId="0" xfId="0" applyFont="1"/>
    <xf numFmtId="0" fontId="3" fillId="0" borderId="0" xfId="0" applyFont="1"/>
    <xf numFmtId="0" fontId="14" fillId="0" borderId="0" xfId="0" applyFont="1"/>
  </cellXfs>
  <cellStyles count="1">
    <cellStyle name="Normal" xfId="0" builtinId="0"/>
  </cellStyles>
  <dxfs count="13">
    <dxf>
      <fill>
        <patternFill>
          <bgColor rgb="FFEDEDED"/>
        </patternFill>
      </fill>
    </dxf>
    <dxf>
      <fill>
        <patternFill>
          <bgColor rgb="FFD0D0D0"/>
        </patternFill>
      </fill>
    </dxf>
    <dxf>
      <fill>
        <patternFill>
          <bgColor rgb="FF7F7F7F"/>
        </patternFill>
      </fill>
    </dxf>
    <dxf>
      <fill>
        <patternFill>
          <bgColor rgb="FFD9C3E9"/>
        </patternFill>
      </fill>
    </dxf>
    <dxf>
      <fill>
        <patternFill>
          <bgColor rgb="FF7030A0"/>
        </patternFill>
      </fill>
    </dxf>
    <dxf>
      <fill>
        <patternFill>
          <bgColor rgb="FFF8CBAD"/>
        </patternFill>
      </fill>
    </dxf>
    <dxf>
      <fill>
        <patternFill>
          <bgColor rgb="FFED7D31"/>
        </patternFill>
      </fill>
    </dxf>
    <dxf>
      <fill>
        <patternFill>
          <bgColor rgb="FFC5E0B4"/>
        </patternFill>
      </fill>
    </dxf>
    <dxf>
      <fill>
        <patternFill>
          <bgColor rgb="FF70AD47"/>
        </patternFill>
      </fill>
    </dxf>
    <dxf>
      <fill>
        <patternFill>
          <bgColor rgb="FFB4C7E7"/>
        </patternFill>
      </fill>
    </dxf>
    <dxf>
      <fill>
        <patternFill>
          <bgColor rgb="FF4472C4"/>
        </patternFill>
      </fill>
    </dxf>
    <dxf>
      <fill>
        <patternFill>
          <bgColor rgb="FF40404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EDEDED"/>
      <rgbColor rgb="FFD9D9D9"/>
      <rgbColor rgb="FF660066"/>
      <rgbColor rgb="FFFF8080"/>
      <rgbColor rgb="FF0066CC"/>
      <rgbColor rgb="FFD9C3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D0D0"/>
      <rgbColor rgb="FFC5E0B4"/>
      <rgbColor rgb="FFFFFF99"/>
      <rgbColor rgb="FFB4C7E7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zoomScaleNormal="100" workbookViewId="0"/>
  </sheetViews>
  <sheetFormatPr baseColWidth="10" defaultColWidth="8.6640625" defaultRowHeight="13" x14ac:dyDescent="0.15"/>
  <cols>
    <col min="1" max="1" width="16" customWidth="1"/>
    <col min="2" max="3" width="10" customWidth="1"/>
    <col min="4" max="4" width="7" customWidth="1"/>
    <col min="5" max="5" width="58" customWidth="1"/>
    <col min="6" max="6" width="26" customWidth="1"/>
    <col min="7" max="9" width="10" customWidth="1"/>
  </cols>
  <sheetData>
    <row r="1" spans="1:9" ht="18" x14ac:dyDescent="0.2">
      <c r="A1" s="1" t="s">
        <v>0</v>
      </c>
    </row>
    <row r="2" spans="1:9" ht="14" x14ac:dyDescent="0.15">
      <c r="A2" s="2" t="s">
        <v>1</v>
      </c>
    </row>
    <row r="4" spans="1:9" ht="14" x14ac:dyDescent="0.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/>
    </row>
    <row r="5" spans="1:9" x14ac:dyDescent="0.15">
      <c r="A5" s="4" t="s">
        <v>10</v>
      </c>
      <c r="B5" s="5">
        <v>46287</v>
      </c>
      <c r="C5" s="5">
        <v>46306</v>
      </c>
      <c r="D5" s="4">
        <f>C5-B5+1</f>
        <v>20</v>
      </c>
      <c r="E5" s="4" t="s">
        <v>11</v>
      </c>
      <c r="F5" s="4" t="s">
        <v>12</v>
      </c>
      <c r="G5" s="4">
        <f>'Sprint 1'!D31</f>
        <v>20</v>
      </c>
      <c r="H5" s="4">
        <f>'Sprint 1'!E31</f>
        <v>92</v>
      </c>
      <c r="I5" s="4"/>
    </row>
    <row r="6" spans="1:9" x14ac:dyDescent="0.15">
      <c r="A6" s="4" t="s">
        <v>13</v>
      </c>
      <c r="B6" s="5">
        <v>46307</v>
      </c>
      <c r="C6" s="5">
        <v>46326</v>
      </c>
      <c r="D6" s="4">
        <f>C6-B6+1</f>
        <v>20</v>
      </c>
      <c r="E6" s="4" t="s">
        <v>14</v>
      </c>
      <c r="F6" s="4" t="s">
        <v>15</v>
      </c>
      <c r="G6" s="4">
        <f>'Sprint 2'!D32</f>
        <v>26</v>
      </c>
      <c r="H6" s="4">
        <f>'Sprint 2'!E32</f>
        <v>86</v>
      </c>
      <c r="I6" s="4"/>
    </row>
    <row r="7" spans="1:9" x14ac:dyDescent="0.15">
      <c r="A7" s="4" t="s">
        <v>16</v>
      </c>
      <c r="B7" s="5">
        <v>46327</v>
      </c>
      <c r="C7" s="5">
        <v>46345</v>
      </c>
      <c r="D7" s="4">
        <f>C7-B7+1</f>
        <v>19</v>
      </c>
      <c r="E7" s="4" t="s">
        <v>17</v>
      </c>
      <c r="F7" s="4" t="s">
        <v>18</v>
      </c>
      <c r="G7" s="4">
        <f>'Sprint 3'!D36</f>
        <v>26</v>
      </c>
      <c r="H7" s="4">
        <f>'Sprint 3'!E36</f>
        <v>105</v>
      </c>
      <c r="I7" s="4"/>
    </row>
    <row r="8" spans="1:9" ht="14" x14ac:dyDescent="0.15">
      <c r="A8" s="6" t="s">
        <v>19</v>
      </c>
      <c r="B8" s="4"/>
      <c r="C8" s="4"/>
      <c r="D8" s="4"/>
      <c r="E8" s="4"/>
      <c r="F8" s="4"/>
      <c r="G8" s="6">
        <f>SUM(G5:G7)</f>
        <v>72</v>
      </c>
      <c r="H8" s="6">
        <f>SUM(H5:H7)</f>
        <v>283</v>
      </c>
      <c r="I8" s="4"/>
    </row>
    <row r="9" spans="1:9" x14ac:dyDescent="0.15">
      <c r="A9" s="4"/>
      <c r="B9" s="4"/>
      <c r="C9" s="4"/>
      <c r="D9" s="4"/>
      <c r="E9" s="4"/>
      <c r="F9" s="4"/>
      <c r="G9" s="4"/>
      <c r="H9" s="4"/>
      <c r="I9" s="4"/>
    </row>
    <row r="10" spans="1:9" ht="16" x14ac:dyDescent="0.2">
      <c r="A10" s="7" t="s">
        <v>20</v>
      </c>
      <c r="B10" s="4"/>
      <c r="C10" s="4"/>
      <c r="D10" s="4"/>
      <c r="E10" s="4"/>
      <c r="F10" s="4"/>
      <c r="G10" s="4"/>
      <c r="H10" s="4"/>
      <c r="I10" s="4"/>
    </row>
    <row r="11" spans="1:9" ht="14" x14ac:dyDescent="0.15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29</v>
      </c>
    </row>
    <row r="12" spans="1:9" x14ac:dyDescent="0.15">
      <c r="A12" s="4" t="s">
        <v>30</v>
      </c>
      <c r="B12" s="4">
        <f>SUMIFS('Sprint 1'!$D$2:$D$30,'Sprint 1'!$A$2:$A$30,"Jalal")</f>
        <v>5</v>
      </c>
      <c r="C12" s="4">
        <f>SUMIFS('Sprint 2'!$D$2:$D$31,'Sprint 2'!$A$2:$A$31,"Jalal")</f>
        <v>8</v>
      </c>
      <c r="D12" s="4">
        <f>SUMIFS('Sprint 3'!$D$2:$D$35,'Sprint 3'!$A$2:$A$35,"Jalal")</f>
        <v>8</v>
      </c>
      <c r="E12" s="4">
        <f>SUM(B12:D12)</f>
        <v>21</v>
      </c>
      <c r="F12" s="4">
        <f>SUMIFS('Sprint 1'!$E$2:$E$30,'Sprint 1'!$A$2:$A$30,"Jalal")</f>
        <v>24</v>
      </c>
      <c r="G12" s="4">
        <f>SUMIFS('Sprint 2'!$E$2:$E$31,'Sprint 2'!$A$2:$A$31,"Jalal")</f>
        <v>24</v>
      </c>
      <c r="H12" s="4">
        <f>SUMIFS('Sprint 3'!$E$2:$E$35,'Sprint 3'!$A$2:$A$35,"Jalal")</f>
        <v>23</v>
      </c>
      <c r="I12" s="4">
        <f>SUM(F12:H12)</f>
        <v>71</v>
      </c>
    </row>
    <row r="13" spans="1:9" x14ac:dyDescent="0.15">
      <c r="A13" s="4" t="s">
        <v>31</v>
      </c>
      <c r="B13" s="4">
        <f>SUMIFS('Sprint 1'!$D$2:$D$30,'Sprint 1'!$A$2:$A$30,"Khan")</f>
        <v>5</v>
      </c>
      <c r="C13" s="4">
        <f>SUMIFS('Sprint 2'!$D$2:$D$31,'Sprint 2'!$A$2:$A$31,"Khan")</f>
        <v>8</v>
      </c>
      <c r="D13" s="4">
        <f>SUMIFS('Sprint 3'!$D$2:$D$35,'Sprint 3'!$A$2:$A$35,"Khan")</f>
        <v>5</v>
      </c>
      <c r="E13" s="4">
        <f>SUM(B13:D13)</f>
        <v>18</v>
      </c>
      <c r="F13" s="4">
        <f>SUMIFS('Sprint 1'!$E$2:$E$30,'Sprint 1'!$A$2:$A$30,"Khan")</f>
        <v>23</v>
      </c>
      <c r="G13" s="4">
        <f>SUMIFS('Sprint 2'!$E$2:$E$31,'Sprint 2'!$A$2:$A$31,"Khan")</f>
        <v>24</v>
      </c>
      <c r="H13" s="4">
        <f>SUMIFS('Sprint 3'!$E$2:$E$35,'Sprint 3'!$A$2:$A$35,"Khan")</f>
        <v>20</v>
      </c>
      <c r="I13" s="4">
        <f>SUM(F13:H13)</f>
        <v>67</v>
      </c>
    </row>
    <row r="14" spans="1:9" x14ac:dyDescent="0.15">
      <c r="A14" s="4" t="s">
        <v>32</v>
      </c>
      <c r="B14" s="4">
        <f>SUMIFS('Sprint 1'!$D$2:$D$30,'Sprint 1'!$A$2:$A$30,"Wesley")</f>
        <v>5</v>
      </c>
      <c r="C14" s="4">
        <f>SUMIFS('Sprint 2'!$D$2:$D$31,'Sprint 2'!$A$2:$A$31,"Wesley")</f>
        <v>5</v>
      </c>
      <c r="D14" s="4">
        <f>SUMIFS('Sprint 3'!$D$2:$D$35,'Sprint 3'!$A$2:$A$35,"Wesley")</f>
        <v>5</v>
      </c>
      <c r="E14" s="4">
        <f>SUM(B14:D14)</f>
        <v>15</v>
      </c>
      <c r="F14" s="4">
        <f>SUMIFS('Sprint 1'!$E$2:$E$30,'Sprint 1'!$A$2:$A$30,"Wesley")</f>
        <v>22</v>
      </c>
      <c r="G14" s="4">
        <f>SUMIFS('Sprint 2'!$E$2:$E$31,'Sprint 2'!$A$2:$A$31,"Wesley")</f>
        <v>20</v>
      </c>
      <c r="H14" s="4">
        <f>SUMIFS('Sprint 3'!$E$2:$E$35,'Sprint 3'!$A$2:$A$35,"Wesley")</f>
        <v>20</v>
      </c>
      <c r="I14" s="4">
        <f>SUM(F14:H14)</f>
        <v>62</v>
      </c>
    </row>
    <row r="15" spans="1:9" x14ac:dyDescent="0.15">
      <c r="A15" s="4" t="s">
        <v>33</v>
      </c>
      <c r="B15" s="4">
        <f>SUMIFS('Sprint 1'!$D$2:$D$30,'Sprint 1'!$A$2:$A$30,"Ayman")</f>
        <v>5</v>
      </c>
      <c r="C15" s="4">
        <f>SUMIFS('Sprint 2'!$D$2:$D$31,'Sprint 2'!$A$2:$A$31,"Ayman")</f>
        <v>5</v>
      </c>
      <c r="D15" s="4">
        <f>SUMIFS('Sprint 3'!$D$2:$D$35,'Sprint 3'!$A$2:$A$35,"Ayman")</f>
        <v>5</v>
      </c>
      <c r="E15" s="4">
        <f>SUM(B15:D15)</f>
        <v>15</v>
      </c>
      <c r="F15" s="4">
        <f>SUMIFS('Sprint 1'!$E$2:$E$30,'Sprint 1'!$A$2:$A$30,"Ayman")</f>
        <v>23</v>
      </c>
      <c r="G15" s="4">
        <f>SUMIFS('Sprint 2'!$E$2:$E$31,'Sprint 2'!$A$2:$A$31,"Ayman")</f>
        <v>18</v>
      </c>
      <c r="H15" s="4">
        <f>SUMIFS('Sprint 3'!$E$2:$E$35,'Sprint 3'!$A$2:$A$35,"Ayman")</f>
        <v>16</v>
      </c>
      <c r="I15" s="4">
        <f>SUM(F15:H15)</f>
        <v>57</v>
      </c>
    </row>
    <row r="16" spans="1:9" x14ac:dyDescent="0.15">
      <c r="A16" s="4" t="s">
        <v>34</v>
      </c>
      <c r="B16" s="4">
        <f>SUMIFS('Sprint 1'!$D$2:$D$30,'Sprint 1'!$A$2:$A$30,"All")</f>
        <v>0</v>
      </c>
      <c r="C16" s="4">
        <f>SUMIFS('Sprint 2'!$D$2:$D$31,'Sprint 2'!$A$2:$A$31,"All")</f>
        <v>0</v>
      </c>
      <c r="D16" s="4">
        <f>SUMIFS('Sprint 3'!$D$2:$D$35,'Sprint 3'!$A$2:$A$35,"All")</f>
        <v>3</v>
      </c>
      <c r="E16" s="4">
        <f>SUM(B16:D16)</f>
        <v>3</v>
      </c>
      <c r="F16" s="4">
        <f>SUMIFS('Sprint 1'!$E$2:$E$30,'Sprint 1'!$A$2:$A$30,"All")</f>
        <v>0</v>
      </c>
      <c r="G16" s="4">
        <f>SUMIFS('Sprint 2'!$E$2:$E$31,'Sprint 2'!$A$2:$A$31,"All")</f>
        <v>0</v>
      </c>
      <c r="H16" s="4">
        <f>SUMIFS('Sprint 3'!$E$2:$E$35,'Sprint 3'!$A$2:$A$35,"All")</f>
        <v>26</v>
      </c>
      <c r="I16" s="4">
        <f>SUM(F16:H16)</f>
        <v>26</v>
      </c>
    </row>
    <row r="17" spans="1:9" ht="14" x14ac:dyDescent="0.15">
      <c r="A17" s="6" t="s">
        <v>19</v>
      </c>
      <c r="B17" s="6">
        <f t="shared" ref="B17:I17" si="0">SUM(B12:B16)</f>
        <v>20</v>
      </c>
      <c r="C17" s="6">
        <f t="shared" si="0"/>
        <v>26</v>
      </c>
      <c r="D17" s="6">
        <f t="shared" si="0"/>
        <v>26</v>
      </c>
      <c r="E17" s="6">
        <f t="shared" si="0"/>
        <v>72</v>
      </c>
      <c r="F17" s="6">
        <f t="shared" si="0"/>
        <v>92</v>
      </c>
      <c r="G17" s="6">
        <f t="shared" si="0"/>
        <v>86</v>
      </c>
      <c r="H17" s="6">
        <f t="shared" si="0"/>
        <v>105</v>
      </c>
      <c r="I17" s="6">
        <f t="shared" si="0"/>
        <v>283</v>
      </c>
    </row>
    <row r="19" spans="1:9" ht="16" x14ac:dyDescent="0.2">
      <c r="A19" s="8" t="s">
        <v>35</v>
      </c>
    </row>
    <row r="20" spans="1:9" x14ac:dyDescent="0.15">
      <c r="A20" s="9" t="s">
        <v>36</v>
      </c>
    </row>
    <row r="21" spans="1:9" x14ac:dyDescent="0.15">
      <c r="A21" s="9" t="s">
        <v>37</v>
      </c>
    </row>
    <row r="22" spans="1:9" x14ac:dyDescent="0.15">
      <c r="A22" s="9" t="s">
        <v>38</v>
      </c>
    </row>
    <row r="23" spans="1:9" x14ac:dyDescent="0.15">
      <c r="A23" s="9" t="s">
        <v>39</v>
      </c>
    </row>
    <row r="24" spans="1:9" x14ac:dyDescent="0.15">
      <c r="A24" s="9" t="s">
        <v>40</v>
      </c>
    </row>
    <row r="25" spans="1:9" x14ac:dyDescent="0.15">
      <c r="A25" s="9" t="s">
        <v>41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110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M51" sqref="M51"/>
    </sheetView>
  </sheetViews>
  <sheetFormatPr baseColWidth="10" defaultColWidth="8.6640625" defaultRowHeight="13" x14ac:dyDescent="0.15"/>
  <cols>
    <col min="1" max="1" width="7" customWidth="1"/>
    <col min="2" max="2" width="8" customWidth="1"/>
    <col min="3" max="3" width="62" customWidth="1"/>
    <col min="4" max="5" width="9" customWidth="1"/>
    <col min="6" max="6" width="5" customWidth="1"/>
    <col min="7" max="65" width="3.1640625" customWidth="1"/>
  </cols>
  <sheetData>
    <row r="1" spans="1:65" ht="18" x14ac:dyDescent="0.2">
      <c r="A1" s="1" t="s">
        <v>42</v>
      </c>
    </row>
    <row r="2" spans="1:65" ht="14" x14ac:dyDescent="0.15">
      <c r="A2" s="10" t="s">
        <v>43</v>
      </c>
    </row>
    <row r="3" spans="1:65" x14ac:dyDescent="0.15">
      <c r="G3" s="11" t="s">
        <v>44</v>
      </c>
      <c r="P3" s="11" t="s">
        <v>45</v>
      </c>
      <c r="AU3" s="11" t="s">
        <v>46</v>
      </c>
    </row>
    <row r="4" spans="1:65" x14ac:dyDescent="0.15">
      <c r="G4" s="12" t="s">
        <v>47</v>
      </c>
      <c r="H4" s="12" t="s">
        <v>48</v>
      </c>
      <c r="I4" s="12" t="s">
        <v>47</v>
      </c>
      <c r="J4" s="12" t="s">
        <v>49</v>
      </c>
      <c r="K4" s="12" t="s">
        <v>50</v>
      </c>
      <c r="L4" s="12" t="s">
        <v>50</v>
      </c>
      <c r="M4" s="12" t="s">
        <v>51</v>
      </c>
      <c r="N4" s="12" t="s">
        <v>47</v>
      </c>
      <c r="O4" s="12" t="s">
        <v>48</v>
      </c>
      <c r="P4" s="12" t="s">
        <v>47</v>
      </c>
      <c r="Q4" s="12" t="s">
        <v>49</v>
      </c>
      <c r="R4" s="12" t="s">
        <v>50</v>
      </c>
      <c r="S4" s="12" t="s">
        <v>50</v>
      </c>
      <c r="T4" s="12" t="s">
        <v>51</v>
      </c>
      <c r="U4" s="12" t="s">
        <v>47</v>
      </c>
      <c r="V4" s="12" t="s">
        <v>48</v>
      </c>
      <c r="W4" s="12" t="s">
        <v>47</v>
      </c>
      <c r="X4" s="12" t="s">
        <v>49</v>
      </c>
      <c r="Y4" s="12" t="s">
        <v>50</v>
      </c>
      <c r="Z4" s="12" t="s">
        <v>50</v>
      </c>
      <c r="AA4" s="12" t="s">
        <v>51</v>
      </c>
      <c r="AB4" s="12" t="s">
        <v>47</v>
      </c>
      <c r="AC4" s="12" t="s">
        <v>48</v>
      </c>
      <c r="AD4" s="12" t="s">
        <v>47</v>
      </c>
      <c r="AE4" s="12" t="s">
        <v>49</v>
      </c>
      <c r="AF4" s="12" t="s">
        <v>50</v>
      </c>
      <c r="AG4" s="12" t="s">
        <v>50</v>
      </c>
      <c r="AH4" s="12" t="s">
        <v>51</v>
      </c>
      <c r="AI4" s="12" t="s">
        <v>47</v>
      </c>
      <c r="AJ4" s="12" t="s">
        <v>48</v>
      </c>
      <c r="AK4" s="12" t="s">
        <v>47</v>
      </c>
      <c r="AL4" s="12" t="s">
        <v>49</v>
      </c>
      <c r="AM4" s="12" t="s">
        <v>50</v>
      </c>
      <c r="AN4" s="12" t="s">
        <v>50</v>
      </c>
      <c r="AO4" s="12" t="s">
        <v>51</v>
      </c>
      <c r="AP4" s="12" t="s">
        <v>47</v>
      </c>
      <c r="AQ4" s="12" t="s">
        <v>48</v>
      </c>
      <c r="AR4" s="12" t="s">
        <v>47</v>
      </c>
      <c r="AS4" s="12" t="s">
        <v>49</v>
      </c>
      <c r="AT4" s="12" t="s">
        <v>50</v>
      </c>
      <c r="AU4" s="12" t="s">
        <v>50</v>
      </c>
      <c r="AV4" s="12" t="s">
        <v>51</v>
      </c>
      <c r="AW4" s="12" t="s">
        <v>47</v>
      </c>
      <c r="AX4" s="12" t="s">
        <v>48</v>
      </c>
      <c r="AY4" s="12" t="s">
        <v>47</v>
      </c>
      <c r="AZ4" s="12" t="s">
        <v>49</v>
      </c>
      <c r="BA4" s="12" t="s">
        <v>50</v>
      </c>
      <c r="BB4" s="12" t="s">
        <v>50</v>
      </c>
      <c r="BC4" s="12" t="s">
        <v>51</v>
      </c>
      <c r="BD4" s="12" t="s">
        <v>47</v>
      </c>
      <c r="BE4" s="12" t="s">
        <v>48</v>
      </c>
      <c r="BF4" s="12" t="s">
        <v>47</v>
      </c>
      <c r="BG4" s="12" t="s">
        <v>49</v>
      </c>
      <c r="BH4" s="12" t="s">
        <v>50</v>
      </c>
      <c r="BI4" s="12" t="s">
        <v>50</v>
      </c>
      <c r="BJ4" s="12" t="s">
        <v>51</v>
      </c>
      <c r="BK4" s="12" t="s">
        <v>47</v>
      </c>
      <c r="BL4" s="12" t="s">
        <v>48</v>
      </c>
      <c r="BM4" s="12" t="s">
        <v>47</v>
      </c>
    </row>
    <row r="5" spans="1:65" ht="14" x14ac:dyDescent="0.15">
      <c r="A5" s="13" t="s">
        <v>2</v>
      </c>
      <c r="B5" s="13" t="s">
        <v>52</v>
      </c>
      <c r="C5" s="13" t="s">
        <v>53</v>
      </c>
      <c r="D5" s="13" t="s">
        <v>3</v>
      </c>
      <c r="E5" s="13" t="s">
        <v>4</v>
      </c>
      <c r="F5" s="13" t="s">
        <v>5</v>
      </c>
      <c r="G5" s="14">
        <v>46287</v>
      </c>
      <c r="H5" s="14">
        <v>46288</v>
      </c>
      <c r="I5" s="14">
        <v>46289</v>
      </c>
      <c r="J5" s="14">
        <v>46290</v>
      </c>
      <c r="K5" s="14">
        <v>46291</v>
      </c>
      <c r="L5" s="14">
        <v>46292</v>
      </c>
      <c r="M5" s="14">
        <v>46293</v>
      </c>
      <c r="N5" s="14">
        <v>46294</v>
      </c>
      <c r="O5" s="14">
        <v>46295</v>
      </c>
      <c r="P5" s="14">
        <v>46296</v>
      </c>
      <c r="Q5" s="14">
        <v>46297</v>
      </c>
      <c r="R5" s="14">
        <v>46298</v>
      </c>
      <c r="S5" s="14">
        <v>46299</v>
      </c>
      <c r="T5" s="14">
        <v>46300</v>
      </c>
      <c r="U5" s="14">
        <v>46301</v>
      </c>
      <c r="V5" s="14">
        <v>46302</v>
      </c>
      <c r="W5" s="14">
        <v>46303</v>
      </c>
      <c r="X5" s="14">
        <v>46304</v>
      </c>
      <c r="Y5" s="14">
        <v>46305</v>
      </c>
      <c r="Z5" s="14">
        <v>46306</v>
      </c>
      <c r="AA5" s="14">
        <v>46307</v>
      </c>
      <c r="AB5" s="14">
        <v>46308</v>
      </c>
      <c r="AC5" s="14">
        <v>46309</v>
      </c>
      <c r="AD5" s="14">
        <v>46310</v>
      </c>
      <c r="AE5" s="14">
        <v>46311</v>
      </c>
      <c r="AF5" s="14">
        <v>46312</v>
      </c>
      <c r="AG5" s="14">
        <v>46313</v>
      </c>
      <c r="AH5" s="14">
        <v>46314</v>
      </c>
      <c r="AI5" s="14">
        <v>46315</v>
      </c>
      <c r="AJ5" s="14">
        <v>46316</v>
      </c>
      <c r="AK5" s="14">
        <v>46317</v>
      </c>
      <c r="AL5" s="14">
        <v>46318</v>
      </c>
      <c r="AM5" s="14">
        <v>46319</v>
      </c>
      <c r="AN5" s="14">
        <v>46320</v>
      </c>
      <c r="AO5" s="14">
        <v>46321</v>
      </c>
      <c r="AP5" s="14">
        <v>46322</v>
      </c>
      <c r="AQ5" s="14">
        <v>46323</v>
      </c>
      <c r="AR5" s="14">
        <v>46324</v>
      </c>
      <c r="AS5" s="14">
        <v>46325</v>
      </c>
      <c r="AT5" s="14">
        <v>46326</v>
      </c>
      <c r="AU5" s="14">
        <v>46327</v>
      </c>
      <c r="AV5" s="14">
        <v>46328</v>
      </c>
      <c r="AW5" s="14">
        <v>46329</v>
      </c>
      <c r="AX5" s="14">
        <v>46330</v>
      </c>
      <c r="AY5" s="14">
        <v>46331</v>
      </c>
      <c r="AZ5" s="14">
        <v>46332</v>
      </c>
      <c r="BA5" s="14">
        <v>46333</v>
      </c>
      <c r="BB5" s="14">
        <v>46334</v>
      </c>
      <c r="BC5" s="14">
        <v>46335</v>
      </c>
      <c r="BD5" s="14">
        <v>46336</v>
      </c>
      <c r="BE5" s="14">
        <v>46337</v>
      </c>
      <c r="BF5" s="14">
        <v>46338</v>
      </c>
      <c r="BG5" s="14">
        <v>46339</v>
      </c>
      <c r="BH5" s="14">
        <v>46340</v>
      </c>
      <c r="BI5" s="14">
        <v>46341</v>
      </c>
      <c r="BJ5" s="14">
        <v>46342</v>
      </c>
      <c r="BK5" s="14">
        <v>46343</v>
      </c>
      <c r="BL5" s="14">
        <v>46344</v>
      </c>
      <c r="BM5" s="14">
        <v>46345</v>
      </c>
    </row>
    <row r="6" spans="1:65" x14ac:dyDescent="0.15">
      <c r="A6" s="15" t="s">
        <v>10</v>
      </c>
      <c r="B6" s="16"/>
      <c r="C6" s="15" t="s">
        <v>11</v>
      </c>
      <c r="D6" s="17">
        <v>46287</v>
      </c>
      <c r="E6" s="17">
        <v>46306</v>
      </c>
      <c r="F6" s="16">
        <f t="shared" ref="F6:F37" si="0">E6-D6+1</f>
        <v>20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x14ac:dyDescent="0.15">
      <c r="A7" s="18" t="s">
        <v>54</v>
      </c>
      <c r="B7" s="18" t="s">
        <v>30</v>
      </c>
      <c r="C7" s="19" t="s">
        <v>55</v>
      </c>
      <c r="D7" s="20">
        <f>MIN(D8:D13)</f>
        <v>46287</v>
      </c>
      <c r="E7" s="20">
        <f>MAX(E8:E13)</f>
        <v>46305</v>
      </c>
      <c r="F7" s="18">
        <f t="shared" si="0"/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x14ac:dyDescent="0.15">
      <c r="A8" s="18" t="s">
        <v>54</v>
      </c>
      <c r="B8" s="18" t="s">
        <v>30</v>
      </c>
      <c r="C8" s="18" t="s">
        <v>56</v>
      </c>
      <c r="D8" s="20">
        <v>46287</v>
      </c>
      <c r="E8" s="20">
        <v>46291</v>
      </c>
      <c r="F8" s="18">
        <f t="shared" si="0"/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x14ac:dyDescent="0.15">
      <c r="A9" s="18" t="s">
        <v>54</v>
      </c>
      <c r="B9" s="18" t="s">
        <v>30</v>
      </c>
      <c r="C9" s="18" t="s">
        <v>57</v>
      </c>
      <c r="D9" s="20">
        <v>46292</v>
      </c>
      <c r="E9" s="20">
        <v>46296</v>
      </c>
      <c r="F9" s="18">
        <f t="shared" si="0"/>
        <v>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x14ac:dyDescent="0.15">
      <c r="A10" s="18" t="s">
        <v>54</v>
      </c>
      <c r="B10" s="18" t="s">
        <v>30</v>
      </c>
      <c r="C10" s="18" t="s">
        <v>58</v>
      </c>
      <c r="D10" s="20">
        <v>46297</v>
      </c>
      <c r="E10" s="20">
        <v>46300</v>
      </c>
      <c r="F10" s="18">
        <f t="shared" si="0"/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x14ac:dyDescent="0.15">
      <c r="A11" s="18" t="s">
        <v>54</v>
      </c>
      <c r="B11" s="18" t="s">
        <v>30</v>
      </c>
      <c r="C11" s="18" t="s">
        <v>59</v>
      </c>
      <c r="D11" s="20">
        <v>46301</v>
      </c>
      <c r="E11" s="20">
        <v>46302</v>
      </c>
      <c r="F11" s="18">
        <f t="shared" si="0"/>
        <v>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x14ac:dyDescent="0.15">
      <c r="A12" s="18" t="s">
        <v>54</v>
      </c>
      <c r="B12" s="18" t="s">
        <v>30</v>
      </c>
      <c r="C12" s="18" t="s">
        <v>60</v>
      </c>
      <c r="D12" s="20">
        <v>46303</v>
      </c>
      <c r="E12" s="20">
        <v>46305</v>
      </c>
      <c r="F12" s="18">
        <f t="shared" si="0"/>
        <v>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x14ac:dyDescent="0.15">
      <c r="A13" s="18" t="s">
        <v>54</v>
      </c>
      <c r="B13" s="18" t="s">
        <v>30</v>
      </c>
      <c r="C13" s="18" t="s">
        <v>61</v>
      </c>
      <c r="D13" s="20">
        <v>46301</v>
      </c>
      <c r="E13" s="20">
        <v>46305</v>
      </c>
      <c r="F13" s="18">
        <f t="shared" si="0"/>
        <v>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 x14ac:dyDescent="0.15">
      <c r="A14" s="18" t="s">
        <v>54</v>
      </c>
      <c r="B14" s="18" t="s">
        <v>32</v>
      </c>
      <c r="C14" s="19" t="s">
        <v>62</v>
      </c>
      <c r="D14" s="20">
        <f>MIN(D15:D20)</f>
        <v>46287</v>
      </c>
      <c r="E14" s="20">
        <f>MAX(E15:E20)</f>
        <v>46305</v>
      </c>
      <c r="F14" s="18">
        <f t="shared" si="0"/>
        <v>19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 x14ac:dyDescent="0.15">
      <c r="A15" s="18" t="s">
        <v>54</v>
      </c>
      <c r="B15" s="18" t="s">
        <v>32</v>
      </c>
      <c r="C15" s="18" t="s">
        <v>63</v>
      </c>
      <c r="D15" s="20">
        <v>46287</v>
      </c>
      <c r="E15" s="20">
        <v>46291</v>
      </c>
      <c r="F15" s="18">
        <f t="shared" si="0"/>
        <v>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spans="1:65" x14ac:dyDescent="0.15">
      <c r="A16" s="18" t="s">
        <v>54</v>
      </c>
      <c r="B16" s="18" t="s">
        <v>32</v>
      </c>
      <c r="C16" s="18" t="s">
        <v>64</v>
      </c>
      <c r="D16" s="20">
        <v>46292</v>
      </c>
      <c r="E16" s="20">
        <v>46295</v>
      </c>
      <c r="F16" s="18">
        <f t="shared" si="0"/>
        <v>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spans="1:65" x14ac:dyDescent="0.15">
      <c r="A17" s="18" t="s">
        <v>54</v>
      </c>
      <c r="B17" s="18" t="s">
        <v>32</v>
      </c>
      <c r="C17" s="18" t="s">
        <v>65</v>
      </c>
      <c r="D17" s="20">
        <v>46296</v>
      </c>
      <c r="E17" s="20">
        <v>46298</v>
      </c>
      <c r="F17" s="18">
        <f t="shared" si="0"/>
        <v>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 spans="1:65" x14ac:dyDescent="0.15">
      <c r="A18" s="18" t="s">
        <v>54</v>
      </c>
      <c r="B18" s="18" t="s">
        <v>32</v>
      </c>
      <c r="C18" s="18" t="s">
        <v>66</v>
      </c>
      <c r="D18" s="20">
        <v>46299</v>
      </c>
      <c r="E18" s="20">
        <v>46302</v>
      </c>
      <c r="F18" s="18">
        <f t="shared" si="0"/>
        <v>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</row>
    <row r="19" spans="1:65" x14ac:dyDescent="0.15">
      <c r="A19" s="18" t="s">
        <v>54</v>
      </c>
      <c r="B19" s="18" t="s">
        <v>32</v>
      </c>
      <c r="C19" s="18" t="s">
        <v>60</v>
      </c>
      <c r="D19" s="20">
        <v>46303</v>
      </c>
      <c r="E19" s="20">
        <v>46305</v>
      </c>
      <c r="F19" s="18">
        <f t="shared" si="0"/>
        <v>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</row>
    <row r="20" spans="1:65" x14ac:dyDescent="0.15">
      <c r="A20" s="18" t="s">
        <v>54</v>
      </c>
      <c r="B20" s="18" t="s">
        <v>32</v>
      </c>
      <c r="C20" s="18" t="s">
        <v>61</v>
      </c>
      <c r="D20" s="20">
        <v>46301</v>
      </c>
      <c r="E20" s="20">
        <v>46305</v>
      </c>
      <c r="F20" s="18">
        <f t="shared" si="0"/>
        <v>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</row>
    <row r="21" spans="1:65" x14ac:dyDescent="0.15">
      <c r="A21" s="18" t="s">
        <v>54</v>
      </c>
      <c r="B21" s="18" t="s">
        <v>31</v>
      </c>
      <c r="C21" s="19" t="s">
        <v>67</v>
      </c>
      <c r="D21" s="20">
        <f>MIN(D22:D27)</f>
        <v>46287</v>
      </c>
      <c r="E21" s="20">
        <f>MAX(E22:E27)</f>
        <v>46305</v>
      </c>
      <c r="F21" s="18">
        <f t="shared" si="0"/>
        <v>19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</row>
    <row r="22" spans="1:65" x14ac:dyDescent="0.15">
      <c r="A22" s="18" t="s">
        <v>54</v>
      </c>
      <c r="B22" s="18" t="s">
        <v>31</v>
      </c>
      <c r="C22" s="18" t="s">
        <v>68</v>
      </c>
      <c r="D22" s="20">
        <v>46287</v>
      </c>
      <c r="E22" s="20">
        <v>46290</v>
      </c>
      <c r="F22" s="18">
        <f t="shared" si="0"/>
        <v>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 spans="1:65" x14ac:dyDescent="0.15">
      <c r="A23" s="18" t="s">
        <v>54</v>
      </c>
      <c r="B23" s="18" t="s">
        <v>31</v>
      </c>
      <c r="C23" s="18" t="s">
        <v>69</v>
      </c>
      <c r="D23" s="20">
        <v>46291</v>
      </c>
      <c r="E23" s="20">
        <v>46294</v>
      </c>
      <c r="F23" s="18">
        <f t="shared" si="0"/>
        <v>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</row>
    <row r="24" spans="1:65" x14ac:dyDescent="0.15">
      <c r="A24" s="18" t="s">
        <v>54</v>
      </c>
      <c r="B24" s="18" t="s">
        <v>31</v>
      </c>
      <c r="C24" s="18" t="s">
        <v>70</v>
      </c>
      <c r="D24" s="20">
        <v>46295</v>
      </c>
      <c r="E24" s="20">
        <v>46299</v>
      </c>
      <c r="F24" s="18">
        <f t="shared" si="0"/>
        <v>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 spans="1:65" x14ac:dyDescent="0.15">
      <c r="A25" s="18" t="s">
        <v>54</v>
      </c>
      <c r="B25" s="18" t="s">
        <v>31</v>
      </c>
      <c r="C25" s="18" t="s">
        <v>71</v>
      </c>
      <c r="D25" s="20">
        <v>46300</v>
      </c>
      <c r="E25" s="20">
        <v>46302</v>
      </c>
      <c r="F25" s="18">
        <f t="shared" si="0"/>
        <v>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 spans="1:65" x14ac:dyDescent="0.15">
      <c r="A26" s="18" t="s">
        <v>54</v>
      </c>
      <c r="B26" s="18" t="s">
        <v>31</v>
      </c>
      <c r="C26" s="18" t="s">
        <v>60</v>
      </c>
      <c r="D26" s="20">
        <v>46303</v>
      </c>
      <c r="E26" s="20">
        <v>46305</v>
      </c>
      <c r="F26" s="18">
        <f t="shared" si="0"/>
        <v>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 spans="1:65" x14ac:dyDescent="0.15">
      <c r="A27" s="18" t="s">
        <v>54</v>
      </c>
      <c r="B27" s="18" t="s">
        <v>31</v>
      </c>
      <c r="C27" s="18" t="s">
        <v>61</v>
      </c>
      <c r="D27" s="20">
        <v>46301</v>
      </c>
      <c r="E27" s="20">
        <v>46305</v>
      </c>
      <c r="F27" s="18">
        <f t="shared" si="0"/>
        <v>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</row>
    <row r="28" spans="1:65" x14ac:dyDescent="0.15">
      <c r="A28" s="18" t="s">
        <v>54</v>
      </c>
      <c r="B28" s="18" t="s">
        <v>33</v>
      </c>
      <c r="C28" s="19" t="s">
        <v>72</v>
      </c>
      <c r="D28" s="20">
        <f>MIN(D29:D34)</f>
        <v>46287</v>
      </c>
      <c r="E28" s="20">
        <f>MAX(E29:E34)</f>
        <v>46305</v>
      </c>
      <c r="F28" s="18">
        <f t="shared" si="0"/>
        <v>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</row>
    <row r="29" spans="1:65" x14ac:dyDescent="0.15">
      <c r="A29" s="18" t="s">
        <v>54</v>
      </c>
      <c r="B29" s="18" t="s">
        <v>33</v>
      </c>
      <c r="C29" s="18" t="s">
        <v>73</v>
      </c>
      <c r="D29" s="20">
        <v>46287</v>
      </c>
      <c r="E29" s="20">
        <v>46290</v>
      </c>
      <c r="F29" s="18">
        <f t="shared" si="0"/>
        <v>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</row>
    <row r="30" spans="1:65" x14ac:dyDescent="0.15">
      <c r="A30" s="18" t="s">
        <v>54</v>
      </c>
      <c r="B30" s="18" t="s">
        <v>33</v>
      </c>
      <c r="C30" s="18" t="s">
        <v>74</v>
      </c>
      <c r="D30" s="20">
        <v>46291</v>
      </c>
      <c r="E30" s="20">
        <v>46294</v>
      </c>
      <c r="F30" s="18">
        <f t="shared" si="0"/>
        <v>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</row>
    <row r="31" spans="1:65" x14ac:dyDescent="0.15">
      <c r="A31" s="18" t="s">
        <v>54</v>
      </c>
      <c r="B31" s="18" t="s">
        <v>33</v>
      </c>
      <c r="C31" s="18" t="s">
        <v>75</v>
      </c>
      <c r="D31" s="20">
        <v>46295</v>
      </c>
      <c r="E31" s="20">
        <v>46299</v>
      </c>
      <c r="F31" s="18">
        <f t="shared" si="0"/>
        <v>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</row>
    <row r="32" spans="1:65" x14ac:dyDescent="0.15">
      <c r="A32" s="18" t="s">
        <v>54</v>
      </c>
      <c r="B32" s="18" t="s">
        <v>33</v>
      </c>
      <c r="C32" s="18" t="s">
        <v>76</v>
      </c>
      <c r="D32" s="20">
        <v>46300</v>
      </c>
      <c r="E32" s="20">
        <v>46302</v>
      </c>
      <c r="F32" s="18">
        <f t="shared" si="0"/>
        <v>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</row>
    <row r="33" spans="1:65" x14ac:dyDescent="0.15">
      <c r="A33" s="18" t="s">
        <v>54</v>
      </c>
      <c r="B33" s="18" t="s">
        <v>33</v>
      </c>
      <c r="C33" s="18" t="s">
        <v>60</v>
      </c>
      <c r="D33" s="20">
        <v>46303</v>
      </c>
      <c r="E33" s="20">
        <v>46305</v>
      </c>
      <c r="F33" s="18">
        <f t="shared" si="0"/>
        <v>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</row>
    <row r="34" spans="1:65" x14ac:dyDescent="0.15">
      <c r="A34" s="18" t="s">
        <v>54</v>
      </c>
      <c r="B34" s="18" t="s">
        <v>33</v>
      </c>
      <c r="C34" s="18" t="s">
        <v>61</v>
      </c>
      <c r="D34" s="20">
        <v>46301</v>
      </c>
      <c r="E34" s="20">
        <v>46305</v>
      </c>
      <c r="F34" s="18">
        <f t="shared" si="0"/>
        <v>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</row>
    <row r="35" spans="1:65" x14ac:dyDescent="0.15">
      <c r="A35" s="18" t="s">
        <v>54</v>
      </c>
      <c r="B35" s="18" t="s">
        <v>77</v>
      </c>
      <c r="C35" s="21" t="s">
        <v>78</v>
      </c>
      <c r="D35" s="20">
        <v>46306</v>
      </c>
      <c r="E35" s="20">
        <v>46306</v>
      </c>
      <c r="F35" s="18">
        <f t="shared" si="0"/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</row>
    <row r="36" spans="1:65" x14ac:dyDescent="0.15">
      <c r="A36" s="15" t="s">
        <v>13</v>
      </c>
      <c r="B36" s="16"/>
      <c r="C36" s="15" t="s">
        <v>14</v>
      </c>
      <c r="D36" s="17">
        <v>46307</v>
      </c>
      <c r="E36" s="17">
        <v>46326</v>
      </c>
      <c r="F36" s="16">
        <f t="shared" si="0"/>
        <v>20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</row>
    <row r="37" spans="1:65" x14ac:dyDescent="0.15">
      <c r="A37" s="18" t="s">
        <v>79</v>
      </c>
      <c r="B37" s="18" t="s">
        <v>31</v>
      </c>
      <c r="C37" s="19" t="s">
        <v>80</v>
      </c>
      <c r="D37" s="20">
        <f>MIN(D38:D43)</f>
        <v>46307</v>
      </c>
      <c r="E37" s="20">
        <f>MAX(E38:E43)</f>
        <v>46325</v>
      </c>
      <c r="F37" s="18">
        <f t="shared" si="0"/>
        <v>19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</row>
    <row r="38" spans="1:65" x14ac:dyDescent="0.15">
      <c r="A38" s="18" t="s">
        <v>79</v>
      </c>
      <c r="B38" s="18" t="s">
        <v>31</v>
      </c>
      <c r="C38" s="18" t="s">
        <v>81</v>
      </c>
      <c r="D38" s="20">
        <v>46307</v>
      </c>
      <c r="E38" s="20">
        <v>46308</v>
      </c>
      <c r="F38" s="18">
        <f t="shared" ref="F38:F69" si="1">E38-D38+1</f>
        <v>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</row>
    <row r="39" spans="1:65" x14ac:dyDescent="0.15">
      <c r="A39" s="18" t="s">
        <v>79</v>
      </c>
      <c r="B39" s="18" t="s">
        <v>31</v>
      </c>
      <c r="C39" s="18" t="s">
        <v>82</v>
      </c>
      <c r="D39" s="20">
        <v>46309</v>
      </c>
      <c r="E39" s="20">
        <v>46313</v>
      </c>
      <c r="F39" s="18">
        <f t="shared" si="1"/>
        <v>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</row>
    <row r="40" spans="1:65" x14ac:dyDescent="0.15">
      <c r="A40" s="18" t="s">
        <v>79</v>
      </c>
      <c r="B40" s="18" t="s">
        <v>31</v>
      </c>
      <c r="C40" s="18" t="s">
        <v>83</v>
      </c>
      <c r="D40" s="20">
        <v>46314</v>
      </c>
      <c r="E40" s="20">
        <v>46318</v>
      </c>
      <c r="F40" s="18">
        <f t="shared" si="1"/>
        <v>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</row>
    <row r="41" spans="1:65" x14ac:dyDescent="0.15">
      <c r="A41" s="18" t="s">
        <v>79</v>
      </c>
      <c r="B41" s="18" t="s">
        <v>31</v>
      </c>
      <c r="C41" s="18" t="s">
        <v>84</v>
      </c>
      <c r="D41" s="20">
        <v>46319</v>
      </c>
      <c r="E41" s="20">
        <v>46322</v>
      </c>
      <c r="F41" s="18">
        <f t="shared" si="1"/>
        <v>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</row>
    <row r="42" spans="1:65" x14ac:dyDescent="0.15">
      <c r="A42" s="18" t="s">
        <v>79</v>
      </c>
      <c r="B42" s="18" t="s">
        <v>31</v>
      </c>
      <c r="C42" s="18" t="s">
        <v>60</v>
      </c>
      <c r="D42" s="20">
        <v>46323</v>
      </c>
      <c r="E42" s="20">
        <v>46325</v>
      </c>
      <c r="F42" s="18">
        <f t="shared" si="1"/>
        <v>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</row>
    <row r="43" spans="1:65" x14ac:dyDescent="0.15">
      <c r="A43" s="18" t="s">
        <v>79</v>
      </c>
      <c r="B43" s="18" t="s">
        <v>31</v>
      </c>
      <c r="C43" s="18" t="s">
        <v>61</v>
      </c>
      <c r="D43" s="20">
        <v>46321</v>
      </c>
      <c r="E43" s="20">
        <v>46325</v>
      </c>
      <c r="F43" s="18">
        <f t="shared" si="1"/>
        <v>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</row>
    <row r="44" spans="1:65" x14ac:dyDescent="0.15">
      <c r="A44" s="18" t="s">
        <v>79</v>
      </c>
      <c r="B44" s="18" t="s">
        <v>33</v>
      </c>
      <c r="C44" s="19" t="s">
        <v>85</v>
      </c>
      <c r="D44" s="20">
        <f>MIN(D45:D50)</f>
        <v>46307</v>
      </c>
      <c r="E44" s="20">
        <f>MAX(E45:E50)</f>
        <v>46325</v>
      </c>
      <c r="F44" s="18">
        <f t="shared" si="1"/>
        <v>19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</row>
    <row r="45" spans="1:65" x14ac:dyDescent="0.15">
      <c r="A45" s="18" t="s">
        <v>79</v>
      </c>
      <c r="B45" s="18" t="s">
        <v>33</v>
      </c>
      <c r="C45" s="18" t="s">
        <v>86</v>
      </c>
      <c r="D45" s="20">
        <v>46307</v>
      </c>
      <c r="E45" s="20">
        <v>46311</v>
      </c>
      <c r="F45" s="18">
        <f t="shared" si="1"/>
        <v>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</row>
    <row r="46" spans="1:65" x14ac:dyDescent="0.15">
      <c r="A46" s="18" t="s">
        <v>79</v>
      </c>
      <c r="B46" s="18" t="s">
        <v>33</v>
      </c>
      <c r="C46" s="18" t="s">
        <v>87</v>
      </c>
      <c r="D46" s="20">
        <v>46312</v>
      </c>
      <c r="E46" s="20">
        <v>46316</v>
      </c>
      <c r="F46" s="18">
        <f t="shared" si="1"/>
        <v>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</row>
    <row r="47" spans="1:65" x14ac:dyDescent="0.15">
      <c r="A47" s="18" t="s">
        <v>79</v>
      </c>
      <c r="B47" s="18" t="s">
        <v>33</v>
      </c>
      <c r="C47" s="18" t="s">
        <v>88</v>
      </c>
      <c r="D47" s="20">
        <v>46317</v>
      </c>
      <c r="E47" s="20">
        <v>46320</v>
      </c>
      <c r="F47" s="18">
        <f t="shared" si="1"/>
        <v>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</row>
    <row r="48" spans="1:65" x14ac:dyDescent="0.15">
      <c r="A48" s="18" t="s">
        <v>79</v>
      </c>
      <c r="B48" s="18" t="s">
        <v>33</v>
      </c>
      <c r="C48" s="18" t="s">
        <v>89</v>
      </c>
      <c r="D48" s="20">
        <v>46321</v>
      </c>
      <c r="E48" s="20">
        <v>46322</v>
      </c>
      <c r="F48" s="18">
        <f t="shared" si="1"/>
        <v>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</row>
    <row r="49" spans="1:65" x14ac:dyDescent="0.15">
      <c r="A49" s="18" t="s">
        <v>79</v>
      </c>
      <c r="B49" s="18" t="s">
        <v>33</v>
      </c>
      <c r="C49" s="18" t="s">
        <v>60</v>
      </c>
      <c r="D49" s="20">
        <v>46323</v>
      </c>
      <c r="E49" s="20">
        <v>46325</v>
      </c>
      <c r="F49" s="18">
        <f t="shared" si="1"/>
        <v>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</row>
    <row r="50" spans="1:65" x14ac:dyDescent="0.15">
      <c r="A50" s="18" t="s">
        <v>79</v>
      </c>
      <c r="B50" s="18" t="s">
        <v>33</v>
      </c>
      <c r="C50" s="18" t="s">
        <v>61</v>
      </c>
      <c r="D50" s="20">
        <v>46321</v>
      </c>
      <c r="E50" s="20">
        <v>46325</v>
      </c>
      <c r="F50" s="18">
        <f t="shared" si="1"/>
        <v>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</row>
    <row r="51" spans="1:65" x14ac:dyDescent="0.15">
      <c r="A51" s="18" t="s">
        <v>79</v>
      </c>
      <c r="B51" s="18" t="s">
        <v>30</v>
      </c>
      <c r="C51" s="19" t="s">
        <v>90</v>
      </c>
      <c r="D51" s="20">
        <f>MIN(D52:D58)</f>
        <v>46307</v>
      </c>
      <c r="E51" s="20">
        <f>MAX(E52:E58)</f>
        <v>46325</v>
      </c>
      <c r="F51" s="18">
        <f t="shared" si="1"/>
        <v>19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</row>
    <row r="52" spans="1:65" x14ac:dyDescent="0.15">
      <c r="A52" s="18" t="s">
        <v>79</v>
      </c>
      <c r="B52" s="18" t="s">
        <v>30</v>
      </c>
      <c r="C52" s="18" t="s">
        <v>91</v>
      </c>
      <c r="D52" s="20">
        <v>46307</v>
      </c>
      <c r="E52" s="20">
        <v>46308</v>
      </c>
      <c r="F52" s="18">
        <f t="shared" si="1"/>
        <v>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</row>
    <row r="53" spans="1:65" x14ac:dyDescent="0.15">
      <c r="A53" s="18" t="s">
        <v>79</v>
      </c>
      <c r="B53" s="18" t="s">
        <v>30</v>
      </c>
      <c r="C53" s="18" t="s">
        <v>92</v>
      </c>
      <c r="D53" s="20">
        <v>46309</v>
      </c>
      <c r="E53" s="20">
        <v>46312</v>
      </c>
      <c r="F53" s="18">
        <f t="shared" si="1"/>
        <v>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</row>
    <row r="54" spans="1:65" x14ac:dyDescent="0.15">
      <c r="A54" s="18" t="s">
        <v>79</v>
      </c>
      <c r="B54" s="18" t="s">
        <v>30</v>
      </c>
      <c r="C54" s="18" t="s">
        <v>93</v>
      </c>
      <c r="D54" s="20">
        <v>46313</v>
      </c>
      <c r="E54" s="20">
        <v>46315</v>
      </c>
      <c r="F54" s="18">
        <f t="shared" si="1"/>
        <v>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</row>
    <row r="55" spans="1:65" x14ac:dyDescent="0.15">
      <c r="A55" s="18" t="s">
        <v>79</v>
      </c>
      <c r="B55" s="18" t="s">
        <v>30</v>
      </c>
      <c r="C55" s="18" t="s">
        <v>94</v>
      </c>
      <c r="D55" s="20">
        <v>46316</v>
      </c>
      <c r="E55" s="20">
        <v>46319</v>
      </c>
      <c r="F55" s="18">
        <f t="shared" si="1"/>
        <v>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</row>
    <row r="56" spans="1:65" x14ac:dyDescent="0.15">
      <c r="A56" s="18" t="s">
        <v>79</v>
      </c>
      <c r="B56" s="18" t="s">
        <v>30</v>
      </c>
      <c r="C56" s="18" t="s">
        <v>95</v>
      </c>
      <c r="D56" s="20">
        <v>46320</v>
      </c>
      <c r="E56" s="20">
        <v>46322</v>
      </c>
      <c r="F56" s="18">
        <f t="shared" si="1"/>
        <v>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</row>
    <row r="57" spans="1:65" x14ac:dyDescent="0.15">
      <c r="A57" s="18" t="s">
        <v>79</v>
      </c>
      <c r="B57" s="18" t="s">
        <v>30</v>
      </c>
      <c r="C57" s="18" t="s">
        <v>60</v>
      </c>
      <c r="D57" s="20">
        <v>46323</v>
      </c>
      <c r="E57" s="20">
        <v>46325</v>
      </c>
      <c r="F57" s="18">
        <f t="shared" si="1"/>
        <v>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</row>
    <row r="58" spans="1:65" x14ac:dyDescent="0.15">
      <c r="A58" s="18" t="s">
        <v>79</v>
      </c>
      <c r="B58" s="18" t="s">
        <v>30</v>
      </c>
      <c r="C58" s="18" t="s">
        <v>61</v>
      </c>
      <c r="D58" s="20">
        <v>46321</v>
      </c>
      <c r="E58" s="20">
        <v>46325</v>
      </c>
      <c r="F58" s="18">
        <f t="shared" si="1"/>
        <v>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</row>
    <row r="59" spans="1:65" x14ac:dyDescent="0.15">
      <c r="A59" s="18" t="s">
        <v>79</v>
      </c>
      <c r="B59" s="18" t="s">
        <v>32</v>
      </c>
      <c r="C59" s="19" t="s">
        <v>96</v>
      </c>
      <c r="D59" s="20">
        <f>MIN(D60:D65)</f>
        <v>46307</v>
      </c>
      <c r="E59" s="20">
        <f>MAX(E60:E65)</f>
        <v>46325</v>
      </c>
      <c r="F59" s="18">
        <f t="shared" si="1"/>
        <v>19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</row>
    <row r="60" spans="1:65" x14ac:dyDescent="0.15">
      <c r="A60" s="18" t="s">
        <v>79</v>
      </c>
      <c r="B60" s="18" t="s">
        <v>32</v>
      </c>
      <c r="C60" s="18" t="s">
        <v>97</v>
      </c>
      <c r="D60" s="20">
        <v>46307</v>
      </c>
      <c r="E60" s="20">
        <v>46311</v>
      </c>
      <c r="F60" s="18">
        <f t="shared" si="1"/>
        <v>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</row>
    <row r="61" spans="1:65" x14ac:dyDescent="0.15">
      <c r="A61" s="18" t="s">
        <v>79</v>
      </c>
      <c r="B61" s="18" t="s">
        <v>32</v>
      </c>
      <c r="C61" s="18" t="s">
        <v>98</v>
      </c>
      <c r="D61" s="20">
        <v>46312</v>
      </c>
      <c r="E61" s="20">
        <v>46316</v>
      </c>
      <c r="F61" s="18">
        <f t="shared" si="1"/>
        <v>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</row>
    <row r="62" spans="1:65" x14ac:dyDescent="0.15">
      <c r="A62" s="18" t="s">
        <v>79</v>
      </c>
      <c r="B62" s="18" t="s">
        <v>32</v>
      </c>
      <c r="C62" s="18" t="s">
        <v>99</v>
      </c>
      <c r="D62" s="20">
        <v>46317</v>
      </c>
      <c r="E62" s="20">
        <v>46320</v>
      </c>
      <c r="F62" s="18">
        <f t="shared" si="1"/>
        <v>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</row>
    <row r="63" spans="1:65" x14ac:dyDescent="0.15">
      <c r="A63" s="18" t="s">
        <v>79</v>
      </c>
      <c r="B63" s="18" t="s">
        <v>32</v>
      </c>
      <c r="C63" s="18" t="s">
        <v>100</v>
      </c>
      <c r="D63" s="20">
        <v>46321</v>
      </c>
      <c r="E63" s="20">
        <v>46322</v>
      </c>
      <c r="F63" s="18">
        <f t="shared" si="1"/>
        <v>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</row>
    <row r="64" spans="1:65" x14ac:dyDescent="0.15">
      <c r="A64" s="18" t="s">
        <v>79</v>
      </c>
      <c r="B64" s="18" t="s">
        <v>32</v>
      </c>
      <c r="C64" s="18" t="s">
        <v>60</v>
      </c>
      <c r="D64" s="20">
        <v>46323</v>
      </c>
      <c r="E64" s="20">
        <v>46325</v>
      </c>
      <c r="F64" s="18">
        <f t="shared" si="1"/>
        <v>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</row>
    <row r="65" spans="1:65" x14ac:dyDescent="0.15">
      <c r="A65" s="18" t="s">
        <v>79</v>
      </c>
      <c r="B65" s="18" t="s">
        <v>32</v>
      </c>
      <c r="C65" s="18" t="s">
        <v>61</v>
      </c>
      <c r="D65" s="20">
        <v>46321</v>
      </c>
      <c r="E65" s="20">
        <v>46325</v>
      </c>
      <c r="F65" s="18">
        <f t="shared" si="1"/>
        <v>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</row>
    <row r="66" spans="1:65" x14ac:dyDescent="0.15">
      <c r="A66" s="18" t="s">
        <v>79</v>
      </c>
      <c r="B66" s="18" t="s">
        <v>77</v>
      </c>
      <c r="C66" s="21" t="s">
        <v>101</v>
      </c>
      <c r="D66" s="20">
        <v>46326</v>
      </c>
      <c r="E66" s="20">
        <v>46326</v>
      </c>
      <c r="F66" s="18">
        <f t="shared" si="1"/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</row>
    <row r="67" spans="1:65" x14ac:dyDescent="0.15">
      <c r="A67" s="15" t="s">
        <v>16</v>
      </c>
      <c r="B67" s="16"/>
      <c r="C67" s="15" t="s">
        <v>17</v>
      </c>
      <c r="D67" s="17">
        <v>46327</v>
      </c>
      <c r="E67" s="17">
        <v>46345</v>
      </c>
      <c r="F67" s="16">
        <f t="shared" si="1"/>
        <v>19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</row>
    <row r="68" spans="1:65" x14ac:dyDescent="0.15">
      <c r="A68" s="18" t="s">
        <v>102</v>
      </c>
      <c r="B68" s="18" t="s">
        <v>30</v>
      </c>
      <c r="C68" s="19" t="s">
        <v>103</v>
      </c>
      <c r="D68" s="20">
        <f>MIN(D69:D74)</f>
        <v>46327</v>
      </c>
      <c r="E68" s="20">
        <f>MAX(E69:E74)</f>
        <v>46344</v>
      </c>
      <c r="F68" s="18">
        <f t="shared" si="1"/>
        <v>18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</row>
    <row r="69" spans="1:65" x14ac:dyDescent="0.15">
      <c r="A69" s="18" t="s">
        <v>102</v>
      </c>
      <c r="B69" s="18" t="s">
        <v>30</v>
      </c>
      <c r="C69" s="18" t="s">
        <v>104</v>
      </c>
      <c r="D69" s="20">
        <v>46327</v>
      </c>
      <c r="E69" s="20">
        <v>46328</v>
      </c>
      <c r="F69" s="18">
        <f t="shared" si="1"/>
        <v>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</row>
    <row r="70" spans="1:65" x14ac:dyDescent="0.15">
      <c r="A70" s="18" t="s">
        <v>102</v>
      </c>
      <c r="B70" s="18" t="s">
        <v>30</v>
      </c>
      <c r="C70" s="18" t="s">
        <v>105</v>
      </c>
      <c r="D70" s="20">
        <v>46329</v>
      </c>
      <c r="E70" s="20">
        <v>46333</v>
      </c>
      <c r="F70" s="18">
        <f t="shared" ref="F70:F101" si="2">E70-D70+1</f>
        <v>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</row>
    <row r="71" spans="1:65" x14ac:dyDescent="0.15">
      <c r="A71" s="18" t="s">
        <v>102</v>
      </c>
      <c r="B71" s="18" t="s">
        <v>30</v>
      </c>
      <c r="C71" s="18" t="s">
        <v>106</v>
      </c>
      <c r="D71" s="20">
        <v>46334</v>
      </c>
      <c r="E71" s="20">
        <v>46336</v>
      </c>
      <c r="F71" s="18">
        <f t="shared" si="2"/>
        <v>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</row>
    <row r="72" spans="1:65" x14ac:dyDescent="0.15">
      <c r="A72" s="18" t="s">
        <v>102</v>
      </c>
      <c r="B72" s="18" t="s">
        <v>30</v>
      </c>
      <c r="C72" s="18" t="s">
        <v>107</v>
      </c>
      <c r="D72" s="20">
        <v>46337</v>
      </c>
      <c r="E72" s="20">
        <v>46341</v>
      </c>
      <c r="F72" s="18">
        <f t="shared" si="2"/>
        <v>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</row>
    <row r="73" spans="1:65" x14ac:dyDescent="0.15">
      <c r="A73" s="18" t="s">
        <v>102</v>
      </c>
      <c r="B73" s="18" t="s">
        <v>30</v>
      </c>
      <c r="C73" s="18" t="s">
        <v>60</v>
      </c>
      <c r="D73" s="20">
        <v>46342</v>
      </c>
      <c r="E73" s="20">
        <v>46344</v>
      </c>
      <c r="F73" s="18">
        <f t="shared" si="2"/>
        <v>3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</row>
    <row r="74" spans="1:65" x14ac:dyDescent="0.15">
      <c r="A74" s="18" t="s">
        <v>102</v>
      </c>
      <c r="B74" s="18" t="s">
        <v>30</v>
      </c>
      <c r="C74" s="18" t="s">
        <v>61</v>
      </c>
      <c r="D74" s="20">
        <v>46340</v>
      </c>
      <c r="E74" s="20">
        <v>46344</v>
      </c>
      <c r="F74" s="18">
        <f t="shared" si="2"/>
        <v>5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</row>
    <row r="75" spans="1:65" x14ac:dyDescent="0.15">
      <c r="A75" s="18" t="s">
        <v>102</v>
      </c>
      <c r="B75" s="18" t="s">
        <v>31</v>
      </c>
      <c r="C75" s="19" t="s">
        <v>108</v>
      </c>
      <c r="D75" s="20">
        <f>MIN(D76:D81)</f>
        <v>46327</v>
      </c>
      <c r="E75" s="20">
        <f>MAX(E76:E81)</f>
        <v>46344</v>
      </c>
      <c r="F75" s="18">
        <f t="shared" si="2"/>
        <v>18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</row>
    <row r="76" spans="1:65" x14ac:dyDescent="0.15">
      <c r="A76" s="18" t="s">
        <v>102</v>
      </c>
      <c r="B76" s="18" t="s">
        <v>31</v>
      </c>
      <c r="C76" s="18" t="s">
        <v>109</v>
      </c>
      <c r="D76" s="20">
        <v>46327</v>
      </c>
      <c r="E76" s="20">
        <v>46330</v>
      </c>
      <c r="F76" s="18">
        <f t="shared" si="2"/>
        <v>4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</row>
    <row r="77" spans="1:65" x14ac:dyDescent="0.15">
      <c r="A77" s="18" t="s">
        <v>102</v>
      </c>
      <c r="B77" s="18" t="s">
        <v>31</v>
      </c>
      <c r="C77" s="18" t="s">
        <v>110</v>
      </c>
      <c r="D77" s="20">
        <v>46331</v>
      </c>
      <c r="E77" s="20">
        <v>46334</v>
      </c>
      <c r="F77" s="18">
        <f t="shared" si="2"/>
        <v>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</row>
    <row r="78" spans="1:65" x14ac:dyDescent="0.15">
      <c r="A78" s="18" t="s">
        <v>102</v>
      </c>
      <c r="B78" s="18" t="s">
        <v>31</v>
      </c>
      <c r="C78" s="18" t="s">
        <v>111</v>
      </c>
      <c r="D78" s="20">
        <v>46335</v>
      </c>
      <c r="E78" s="20">
        <v>46338</v>
      </c>
      <c r="F78" s="18">
        <f t="shared" si="2"/>
        <v>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</row>
    <row r="79" spans="1:65" x14ac:dyDescent="0.15">
      <c r="A79" s="18" t="s">
        <v>102</v>
      </c>
      <c r="B79" s="18" t="s">
        <v>31</v>
      </c>
      <c r="C79" s="18" t="s">
        <v>112</v>
      </c>
      <c r="D79" s="20">
        <v>46339</v>
      </c>
      <c r="E79" s="20">
        <v>46341</v>
      </c>
      <c r="F79" s="18">
        <f t="shared" si="2"/>
        <v>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</row>
    <row r="80" spans="1:65" x14ac:dyDescent="0.15">
      <c r="A80" s="18" t="s">
        <v>102</v>
      </c>
      <c r="B80" s="18" t="s">
        <v>31</v>
      </c>
      <c r="C80" s="18" t="s">
        <v>60</v>
      </c>
      <c r="D80" s="20">
        <v>46342</v>
      </c>
      <c r="E80" s="20">
        <v>46344</v>
      </c>
      <c r="F80" s="18">
        <f t="shared" si="2"/>
        <v>3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</row>
    <row r="81" spans="1:65" x14ac:dyDescent="0.15">
      <c r="A81" s="18" t="s">
        <v>102</v>
      </c>
      <c r="B81" s="18" t="s">
        <v>31</v>
      </c>
      <c r="C81" s="18" t="s">
        <v>61</v>
      </c>
      <c r="D81" s="20">
        <v>46340</v>
      </c>
      <c r="E81" s="20">
        <v>46344</v>
      </c>
      <c r="F81" s="18">
        <f t="shared" si="2"/>
        <v>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</row>
    <row r="82" spans="1:65" x14ac:dyDescent="0.15">
      <c r="A82" s="18" t="s">
        <v>102</v>
      </c>
      <c r="B82" s="18" t="s">
        <v>33</v>
      </c>
      <c r="C82" s="19" t="s">
        <v>113</v>
      </c>
      <c r="D82" s="20">
        <f>MIN(D83:D88)</f>
        <v>46327</v>
      </c>
      <c r="E82" s="20">
        <f>MAX(E83:E88)</f>
        <v>46344</v>
      </c>
      <c r="F82" s="18">
        <f t="shared" si="2"/>
        <v>18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</row>
    <row r="83" spans="1:65" x14ac:dyDescent="0.15">
      <c r="A83" s="18" t="s">
        <v>102</v>
      </c>
      <c r="B83" s="18" t="s">
        <v>33</v>
      </c>
      <c r="C83" s="18" t="s">
        <v>114</v>
      </c>
      <c r="D83" s="20">
        <v>46327</v>
      </c>
      <c r="E83" s="20">
        <v>46332</v>
      </c>
      <c r="F83" s="18">
        <f t="shared" si="2"/>
        <v>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</row>
    <row r="84" spans="1:65" x14ac:dyDescent="0.15">
      <c r="A84" s="18" t="s">
        <v>102</v>
      </c>
      <c r="B84" s="18" t="s">
        <v>33</v>
      </c>
      <c r="C84" s="18" t="s">
        <v>115</v>
      </c>
      <c r="D84" s="20">
        <v>46333</v>
      </c>
      <c r="E84" s="20">
        <v>46335</v>
      </c>
      <c r="F84" s="18">
        <f t="shared" si="2"/>
        <v>3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</row>
    <row r="85" spans="1:65" x14ac:dyDescent="0.15">
      <c r="A85" s="18" t="s">
        <v>102</v>
      </c>
      <c r="B85" s="18" t="s">
        <v>33</v>
      </c>
      <c r="C85" s="18" t="s">
        <v>116</v>
      </c>
      <c r="D85" s="20">
        <v>46336</v>
      </c>
      <c r="E85" s="20">
        <v>46337</v>
      </c>
      <c r="F85" s="18">
        <f t="shared" si="2"/>
        <v>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</row>
    <row r="86" spans="1:65" x14ac:dyDescent="0.15">
      <c r="A86" s="18" t="s">
        <v>102</v>
      </c>
      <c r="B86" s="18" t="s">
        <v>33</v>
      </c>
      <c r="C86" s="18" t="s">
        <v>117</v>
      </c>
      <c r="D86" s="20">
        <v>46338</v>
      </c>
      <c r="E86" s="20">
        <v>46341</v>
      </c>
      <c r="F86" s="18">
        <f t="shared" si="2"/>
        <v>4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</row>
    <row r="87" spans="1:65" x14ac:dyDescent="0.15">
      <c r="A87" s="18" t="s">
        <v>102</v>
      </c>
      <c r="B87" s="18" t="s">
        <v>33</v>
      </c>
      <c r="C87" s="18" t="s">
        <v>60</v>
      </c>
      <c r="D87" s="20">
        <v>46342</v>
      </c>
      <c r="E87" s="20">
        <v>46344</v>
      </c>
      <c r="F87" s="18">
        <f t="shared" si="2"/>
        <v>3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</row>
    <row r="88" spans="1:65" x14ac:dyDescent="0.15">
      <c r="A88" s="18" t="s">
        <v>102</v>
      </c>
      <c r="B88" s="18" t="s">
        <v>33</v>
      </c>
      <c r="C88" s="18" t="s">
        <v>61</v>
      </c>
      <c r="D88" s="20">
        <v>46340</v>
      </c>
      <c r="E88" s="20">
        <v>46344</v>
      </c>
      <c r="F88" s="18">
        <f t="shared" si="2"/>
        <v>5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</row>
    <row r="89" spans="1:65" x14ac:dyDescent="0.15">
      <c r="A89" s="18" t="s">
        <v>102</v>
      </c>
      <c r="B89" s="18" t="s">
        <v>32</v>
      </c>
      <c r="C89" s="19" t="s">
        <v>118</v>
      </c>
      <c r="D89" s="20">
        <f>MIN(D90:D95)</f>
        <v>46327</v>
      </c>
      <c r="E89" s="20">
        <f>MAX(E90:E95)</f>
        <v>46344</v>
      </c>
      <c r="F89" s="18">
        <f t="shared" si="2"/>
        <v>18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</row>
    <row r="90" spans="1:65" x14ac:dyDescent="0.15">
      <c r="A90" s="18" t="s">
        <v>102</v>
      </c>
      <c r="B90" s="18" t="s">
        <v>32</v>
      </c>
      <c r="C90" s="18" t="s">
        <v>119</v>
      </c>
      <c r="D90" s="20">
        <v>46327</v>
      </c>
      <c r="E90" s="20">
        <v>46329</v>
      </c>
      <c r="F90" s="18">
        <f t="shared" si="2"/>
        <v>3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</row>
    <row r="91" spans="1:65" x14ac:dyDescent="0.15">
      <c r="A91" s="18" t="s">
        <v>102</v>
      </c>
      <c r="B91" s="18" t="s">
        <v>32</v>
      </c>
      <c r="C91" s="18" t="s">
        <v>120</v>
      </c>
      <c r="D91" s="20">
        <v>46330</v>
      </c>
      <c r="E91" s="20">
        <v>46334</v>
      </c>
      <c r="F91" s="18">
        <f t="shared" si="2"/>
        <v>5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</row>
    <row r="92" spans="1:65" x14ac:dyDescent="0.15">
      <c r="A92" s="18" t="s">
        <v>102</v>
      </c>
      <c r="B92" s="18" t="s">
        <v>32</v>
      </c>
      <c r="C92" s="18" t="s">
        <v>121</v>
      </c>
      <c r="D92" s="20">
        <v>46335</v>
      </c>
      <c r="E92" s="20">
        <v>46338</v>
      </c>
      <c r="F92" s="18">
        <f t="shared" si="2"/>
        <v>4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</row>
    <row r="93" spans="1:65" x14ac:dyDescent="0.15">
      <c r="A93" s="18" t="s">
        <v>102</v>
      </c>
      <c r="B93" s="18" t="s">
        <v>32</v>
      </c>
      <c r="C93" s="18" t="s">
        <v>122</v>
      </c>
      <c r="D93" s="20">
        <v>46339</v>
      </c>
      <c r="E93" s="20">
        <v>46341</v>
      </c>
      <c r="F93" s="18">
        <f t="shared" si="2"/>
        <v>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</row>
    <row r="94" spans="1:65" x14ac:dyDescent="0.15">
      <c r="A94" s="18" t="s">
        <v>102</v>
      </c>
      <c r="B94" s="18" t="s">
        <v>32</v>
      </c>
      <c r="C94" s="18" t="s">
        <v>60</v>
      </c>
      <c r="D94" s="20">
        <v>46342</v>
      </c>
      <c r="E94" s="20">
        <v>46344</v>
      </c>
      <c r="F94" s="18">
        <f t="shared" si="2"/>
        <v>3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</row>
    <row r="95" spans="1:65" x14ac:dyDescent="0.15">
      <c r="A95" s="18" t="s">
        <v>102</v>
      </c>
      <c r="B95" s="18" t="s">
        <v>32</v>
      </c>
      <c r="C95" s="18" t="s">
        <v>61</v>
      </c>
      <c r="D95" s="20">
        <v>46340</v>
      </c>
      <c r="E95" s="20">
        <v>46344</v>
      </c>
      <c r="F95" s="18">
        <f t="shared" si="2"/>
        <v>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</row>
    <row r="96" spans="1:65" x14ac:dyDescent="0.15">
      <c r="A96" s="18" t="s">
        <v>102</v>
      </c>
      <c r="B96" s="18" t="s">
        <v>77</v>
      </c>
      <c r="C96" s="19" t="s">
        <v>123</v>
      </c>
      <c r="D96" s="20">
        <f>MIN(D97:D100)</f>
        <v>46327</v>
      </c>
      <c r="E96" s="20">
        <f>MAX(E97:E100)</f>
        <v>46344</v>
      </c>
      <c r="F96" s="18">
        <f t="shared" si="2"/>
        <v>18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</row>
    <row r="97" spans="1:65" x14ac:dyDescent="0.15">
      <c r="A97" s="18" t="s">
        <v>102</v>
      </c>
      <c r="B97" s="18" t="s">
        <v>77</v>
      </c>
      <c r="C97" s="18" t="s">
        <v>124</v>
      </c>
      <c r="D97" s="20">
        <v>46327</v>
      </c>
      <c r="E97" s="20">
        <v>46332</v>
      </c>
      <c r="F97" s="18">
        <f t="shared" si="2"/>
        <v>6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</row>
    <row r="98" spans="1:65" x14ac:dyDescent="0.15">
      <c r="A98" s="18" t="s">
        <v>102</v>
      </c>
      <c r="B98" s="18" t="s">
        <v>77</v>
      </c>
      <c r="C98" s="18" t="s">
        <v>125</v>
      </c>
      <c r="D98" s="20">
        <v>46333</v>
      </c>
      <c r="E98" s="20">
        <v>46337</v>
      </c>
      <c r="F98" s="18">
        <f t="shared" si="2"/>
        <v>5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</row>
    <row r="99" spans="1:65" x14ac:dyDescent="0.15">
      <c r="A99" s="18" t="s">
        <v>102</v>
      </c>
      <c r="B99" s="18" t="s">
        <v>77</v>
      </c>
      <c r="C99" s="18" t="s">
        <v>126</v>
      </c>
      <c r="D99" s="20">
        <v>46338</v>
      </c>
      <c r="E99" s="20">
        <v>46341</v>
      </c>
      <c r="F99" s="18">
        <f t="shared" si="2"/>
        <v>4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</row>
    <row r="100" spans="1:65" x14ac:dyDescent="0.15">
      <c r="A100" s="18" t="s">
        <v>102</v>
      </c>
      <c r="B100" s="18" t="s">
        <v>77</v>
      </c>
      <c r="C100" s="18" t="s">
        <v>127</v>
      </c>
      <c r="D100" s="20">
        <v>46342</v>
      </c>
      <c r="E100" s="20">
        <v>46344</v>
      </c>
      <c r="F100" s="18">
        <f t="shared" si="2"/>
        <v>3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</row>
    <row r="101" spans="1:65" x14ac:dyDescent="0.15">
      <c r="A101" s="18" t="s">
        <v>102</v>
      </c>
      <c r="B101" s="18" t="s">
        <v>77</v>
      </c>
      <c r="C101" s="21" t="s">
        <v>128</v>
      </c>
      <c r="D101" s="20">
        <v>46345</v>
      </c>
      <c r="E101" s="20">
        <v>46345</v>
      </c>
      <c r="F101" s="18">
        <f t="shared" si="2"/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</row>
    <row r="103" spans="1:65" x14ac:dyDescent="0.15">
      <c r="C103" s="11" t="s">
        <v>129</v>
      </c>
    </row>
    <row r="104" spans="1:65" x14ac:dyDescent="0.15">
      <c r="C104" s="22" t="s">
        <v>30</v>
      </c>
      <c r="D104" s="23"/>
    </row>
    <row r="105" spans="1:65" x14ac:dyDescent="0.15">
      <c r="C105" s="22" t="s">
        <v>32</v>
      </c>
      <c r="D105" s="24"/>
    </row>
    <row r="106" spans="1:65" x14ac:dyDescent="0.15">
      <c r="C106" s="22" t="s">
        <v>31</v>
      </c>
      <c r="D106" s="25"/>
    </row>
    <row r="107" spans="1:65" x14ac:dyDescent="0.15">
      <c r="C107" s="22" t="s">
        <v>33</v>
      </c>
      <c r="D107" s="26"/>
    </row>
    <row r="108" spans="1:65" x14ac:dyDescent="0.15">
      <c r="C108" s="22" t="s">
        <v>130</v>
      </c>
      <c r="D108" s="27"/>
    </row>
    <row r="110" spans="1:65" x14ac:dyDescent="0.15">
      <c r="C110" s="28" t="s">
        <v>131</v>
      </c>
    </row>
  </sheetData>
  <conditionalFormatting sqref="G6:BM101">
    <cfRule type="expression" dxfId="12" priority="2">
      <formula>AND(LEFT($C6,1)="◆",AND(G$5&gt;=$D6,G$5&lt;=$E6))</formula>
    </cfRule>
    <cfRule type="expression" dxfId="11" priority="3">
      <formula>AND(LEFT($A6,6)="Sprint",AND(G$5&gt;=$D6,G$5&lt;=$E6))</formula>
    </cfRule>
    <cfRule type="expression" dxfId="10" priority="4">
      <formula>AND($B6="Jalal",LEFT($C6,1)&lt;&gt;" ",AND(G$5&gt;=$D6,G$5&lt;=$E6))</formula>
    </cfRule>
    <cfRule type="expression" dxfId="9" priority="5">
      <formula>AND($B6="Jalal",AND(G$5&gt;=$D6,G$5&lt;=$E6))</formula>
    </cfRule>
    <cfRule type="expression" dxfId="8" priority="6">
      <formula>AND($B6="Wesley",LEFT($C6,1)&lt;&gt;" ",AND(G$5&gt;=$D6,G$5&lt;=$E6))</formula>
    </cfRule>
    <cfRule type="expression" dxfId="7" priority="7">
      <formula>AND($B6="Wesley",AND(G$5&gt;=$D6,G$5&lt;=$E6))</formula>
    </cfRule>
    <cfRule type="expression" dxfId="6" priority="8">
      <formula>AND($B6="Khan",LEFT($C6,1)&lt;&gt;" ",AND(G$5&gt;=$D6,G$5&lt;=$E6))</formula>
    </cfRule>
    <cfRule type="expression" dxfId="5" priority="9">
      <formula>AND($B6="Khan",AND(G$5&gt;=$D6,G$5&lt;=$E6))</formula>
    </cfRule>
    <cfRule type="expression" dxfId="4" priority="10">
      <formula>AND($B6="Ayman",LEFT($C6,1)&lt;&gt;" ",AND(G$5&gt;=$D6,G$5&lt;=$E6))</formula>
    </cfRule>
    <cfRule type="expression" dxfId="3" priority="11">
      <formula>AND($B6="Ayman",AND(G$5&gt;=$D6,G$5&lt;=$E6))</formula>
    </cfRule>
    <cfRule type="expression" dxfId="2" priority="12">
      <formula>AND($B6="All",LEFT($C6,1)&lt;&gt;" ",AND(G$5&gt;=$D6,G$5&lt;=$E6))</formula>
    </cfRule>
    <cfRule type="expression" dxfId="1" priority="13">
      <formula>AND($B6="All",AND(G$5&gt;=$D6,G$5&lt;=$E6))</formula>
    </cfRule>
    <cfRule type="expression" dxfId="0" priority="14">
      <formula>WEEKDAY(G$5,2)&gt;5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4"/>
  <sheetViews>
    <sheetView tabSelected="1" zoomScaleNormal="100" workbookViewId="0">
      <pane ySplit="1" topLeftCell="A2" activePane="bottomLeft" state="frozen"/>
      <selection pane="bottomLeft" activeCell="C38" sqref="C38"/>
    </sheetView>
  </sheetViews>
  <sheetFormatPr baseColWidth="10" defaultColWidth="8.6640625" defaultRowHeight="13" x14ac:dyDescent="0.15"/>
  <cols>
    <col min="1" max="1" width="9" customWidth="1"/>
    <col min="2" max="2" width="18.1640625" customWidth="1"/>
    <col min="3" max="3" width="66" customWidth="1"/>
    <col min="4" max="4" width="8" customWidth="1"/>
    <col min="5" max="5" width="11" customWidth="1"/>
    <col min="6" max="9" width="16" customWidth="1"/>
  </cols>
  <sheetData>
    <row r="1" spans="1:9" ht="14" x14ac:dyDescent="0.15">
      <c r="A1" s="29" t="s">
        <v>52</v>
      </c>
      <c r="B1" s="29" t="s">
        <v>132</v>
      </c>
      <c r="C1" s="29" t="s">
        <v>133</v>
      </c>
      <c r="D1" s="29" t="s">
        <v>8</v>
      </c>
      <c r="E1" s="29" t="s">
        <v>134</v>
      </c>
      <c r="F1" s="29" t="s">
        <v>135</v>
      </c>
      <c r="G1" s="29" t="s">
        <v>136</v>
      </c>
      <c r="H1" s="29" t="s">
        <v>137</v>
      </c>
      <c r="I1" s="29" t="s">
        <v>138</v>
      </c>
    </row>
    <row r="2" spans="1:9" ht="14" x14ac:dyDescent="0.15">
      <c r="A2" s="30" t="s">
        <v>30</v>
      </c>
      <c r="B2" s="29" t="s">
        <v>55</v>
      </c>
      <c r="D2" s="29">
        <v>5</v>
      </c>
      <c r="E2" s="29">
        <f>SUM(E3:E8)</f>
        <v>24</v>
      </c>
      <c r="F2" s="29" t="str">
        <f>IF(COUNT(F3:F8)=0,"",SUM(F3:F8))</f>
        <v/>
      </c>
      <c r="G2" s="29" t="str">
        <f>IF(COUNT(G3:G8)=0,"",SUM(G3:G8))</f>
        <v/>
      </c>
      <c r="H2" s="29" t="str">
        <f>IF(COUNT(H3:H8)=0,"",SUM(H3:H8))</f>
        <v/>
      </c>
      <c r="I2" s="29" t="str">
        <f>IF(COUNT(I3:I8)=0,"",SUM(I3:I8))</f>
        <v/>
      </c>
    </row>
    <row r="3" spans="1:9" ht="14" x14ac:dyDescent="0.15">
      <c r="C3" s="30" t="s">
        <v>139</v>
      </c>
      <c r="E3" s="30">
        <v>6</v>
      </c>
    </row>
    <row r="4" spans="1:9" ht="14" x14ac:dyDescent="0.15">
      <c r="C4" s="30" t="s">
        <v>140</v>
      </c>
      <c r="E4" s="30">
        <v>6</v>
      </c>
    </row>
    <row r="5" spans="1:9" ht="14" x14ac:dyDescent="0.15">
      <c r="C5" s="30" t="s">
        <v>141</v>
      </c>
      <c r="E5" s="30">
        <v>5</v>
      </c>
    </row>
    <row r="6" spans="1:9" ht="14" x14ac:dyDescent="0.15">
      <c r="C6" s="30" t="s">
        <v>142</v>
      </c>
      <c r="E6" s="30">
        <v>3</v>
      </c>
    </row>
    <row r="7" spans="1:9" ht="14" x14ac:dyDescent="0.15">
      <c r="C7" s="30" t="s">
        <v>143</v>
      </c>
      <c r="E7" s="30">
        <v>2</v>
      </c>
    </row>
    <row r="8" spans="1:9" ht="14" x14ac:dyDescent="0.15">
      <c r="C8" s="30" t="s">
        <v>144</v>
      </c>
      <c r="E8" s="30">
        <v>2</v>
      </c>
    </row>
    <row r="9" spans="1:9" ht="14" x14ac:dyDescent="0.15">
      <c r="A9" s="30" t="s">
        <v>32</v>
      </c>
      <c r="B9" s="29" t="s">
        <v>62</v>
      </c>
      <c r="D9" s="29">
        <v>5</v>
      </c>
      <c r="E9" s="29">
        <f>SUM(E10:E15)</f>
        <v>22</v>
      </c>
      <c r="F9" s="29" t="str">
        <f>IF(COUNT(F10:F15)=0,"",SUM(F10:F15))</f>
        <v/>
      </c>
      <c r="G9" s="29" t="str">
        <f>IF(COUNT(G10:G15)=0,"",SUM(G10:G15))</f>
        <v/>
      </c>
      <c r="H9" s="29" t="str">
        <f>IF(COUNT(H10:H15)=0,"",SUM(H10:H15))</f>
        <v/>
      </c>
      <c r="I9" s="29" t="str">
        <f>IF(COUNT(I10:I15)=0,"",SUM(I10:I15))</f>
        <v/>
      </c>
    </row>
    <row r="10" spans="1:9" ht="14" x14ac:dyDescent="0.15">
      <c r="C10" s="30" t="s">
        <v>145</v>
      </c>
      <c r="E10" s="30">
        <v>6</v>
      </c>
    </row>
    <row r="11" spans="1:9" ht="14" x14ac:dyDescent="0.15">
      <c r="C11" s="30" t="s">
        <v>146</v>
      </c>
      <c r="E11" s="30">
        <v>4</v>
      </c>
    </row>
    <row r="12" spans="1:9" ht="14" x14ac:dyDescent="0.15">
      <c r="C12" s="30" t="s">
        <v>147</v>
      </c>
      <c r="E12" s="30">
        <v>4</v>
      </c>
    </row>
    <row r="13" spans="1:9" ht="14" x14ac:dyDescent="0.15">
      <c r="C13" s="30" t="s">
        <v>148</v>
      </c>
      <c r="E13" s="30">
        <v>4</v>
      </c>
    </row>
    <row r="14" spans="1:9" ht="14" x14ac:dyDescent="0.15">
      <c r="C14" s="30" t="s">
        <v>143</v>
      </c>
      <c r="E14" s="30">
        <v>2</v>
      </c>
    </row>
    <row r="15" spans="1:9" ht="14" x14ac:dyDescent="0.15">
      <c r="C15" s="30" t="s">
        <v>144</v>
      </c>
      <c r="E15" s="30">
        <v>2</v>
      </c>
    </row>
    <row r="16" spans="1:9" ht="14" x14ac:dyDescent="0.15">
      <c r="A16" s="30" t="s">
        <v>31</v>
      </c>
      <c r="B16" s="29" t="s">
        <v>67</v>
      </c>
      <c r="D16" s="29">
        <v>5</v>
      </c>
      <c r="E16" s="29">
        <f>SUM(E17:E22)</f>
        <v>23</v>
      </c>
      <c r="F16" s="29" t="str">
        <f>IF(COUNT(F17:F22)=0,"",SUM(F17:F22))</f>
        <v/>
      </c>
      <c r="G16" s="29" t="str">
        <f>IF(COUNT(G17:G22)=0,"",SUM(G17:G22))</f>
        <v/>
      </c>
      <c r="H16" s="29" t="str">
        <f>IF(COUNT(H17:H22)=0,"",SUM(H17:H22))</f>
        <v/>
      </c>
      <c r="I16" s="29" t="str">
        <f>IF(COUNT(I17:I22)=0,"",SUM(I17:I22))</f>
        <v/>
      </c>
    </row>
    <row r="17" spans="1:9" ht="14" x14ac:dyDescent="0.15">
      <c r="C17" s="30" t="s">
        <v>149</v>
      </c>
      <c r="E17" s="30">
        <v>5</v>
      </c>
    </row>
    <row r="18" spans="1:9" ht="14" x14ac:dyDescent="0.15">
      <c r="C18" s="30" t="s">
        <v>150</v>
      </c>
      <c r="E18" s="30">
        <v>5</v>
      </c>
    </row>
    <row r="19" spans="1:9" ht="14" x14ac:dyDescent="0.15">
      <c r="C19" s="30" t="s">
        <v>151</v>
      </c>
      <c r="E19" s="30">
        <v>6</v>
      </c>
    </row>
    <row r="20" spans="1:9" ht="14" x14ac:dyDescent="0.15">
      <c r="C20" s="30" t="s">
        <v>152</v>
      </c>
      <c r="E20" s="30">
        <v>3</v>
      </c>
    </row>
    <row r="21" spans="1:9" ht="14" x14ac:dyDescent="0.15">
      <c r="C21" s="30" t="s">
        <v>143</v>
      </c>
      <c r="E21" s="30">
        <v>2</v>
      </c>
    </row>
    <row r="22" spans="1:9" ht="14" x14ac:dyDescent="0.15">
      <c r="C22" s="30" t="s">
        <v>144</v>
      </c>
      <c r="E22" s="30">
        <v>2</v>
      </c>
    </row>
    <row r="23" spans="1:9" ht="14" x14ac:dyDescent="0.15">
      <c r="A23" s="30" t="s">
        <v>33</v>
      </c>
      <c r="B23" s="29" t="s">
        <v>72</v>
      </c>
      <c r="D23" s="29">
        <v>5</v>
      </c>
      <c r="E23" s="29">
        <f>SUM(E24:E29)</f>
        <v>23</v>
      </c>
      <c r="F23" s="29" t="str">
        <f>IF(COUNT(F24:F29)=0,"",SUM(F24:F29))</f>
        <v/>
      </c>
      <c r="G23" s="29" t="str">
        <f>IF(COUNT(G24:G29)=0,"",SUM(G24:G29))</f>
        <v/>
      </c>
      <c r="H23" s="29" t="str">
        <f>IF(COUNT(H24:H29)=0,"",SUM(H24:H29))</f>
        <v/>
      </c>
      <c r="I23" s="29" t="str">
        <f>IF(COUNT(I24:I29)=0,"",SUM(I24:I29))</f>
        <v/>
      </c>
    </row>
    <row r="24" spans="1:9" ht="14" x14ac:dyDescent="0.15">
      <c r="C24" s="30" t="s">
        <v>153</v>
      </c>
      <c r="E24" s="30">
        <v>5</v>
      </c>
    </row>
    <row r="25" spans="1:9" ht="14" x14ac:dyDescent="0.15">
      <c r="C25" s="30" t="s">
        <v>154</v>
      </c>
      <c r="E25" s="30">
        <v>5</v>
      </c>
    </row>
    <row r="26" spans="1:9" ht="14" x14ac:dyDescent="0.15">
      <c r="C26" s="30" t="s">
        <v>155</v>
      </c>
      <c r="E26" s="30">
        <v>6</v>
      </c>
    </row>
    <row r="27" spans="1:9" ht="14" x14ac:dyDescent="0.15">
      <c r="C27" s="30" t="s">
        <v>156</v>
      </c>
      <c r="E27" s="30">
        <v>3</v>
      </c>
    </row>
    <row r="28" spans="1:9" ht="14" x14ac:dyDescent="0.15">
      <c r="C28" s="30" t="s">
        <v>143</v>
      </c>
      <c r="E28" s="30">
        <v>2</v>
      </c>
    </row>
    <row r="29" spans="1:9" ht="14" x14ac:dyDescent="0.15">
      <c r="C29" s="30" t="s">
        <v>144</v>
      </c>
      <c r="E29" s="30">
        <v>2</v>
      </c>
    </row>
    <row r="31" spans="1:9" ht="14" x14ac:dyDescent="0.15">
      <c r="A31" s="29" t="s">
        <v>19</v>
      </c>
      <c r="D31" s="29">
        <f>D2+D9+D16+D23</f>
        <v>20</v>
      </c>
      <c r="E31" s="29">
        <f>E2+E9+E16+E23</f>
        <v>92</v>
      </c>
      <c r="F31" s="29" t="str">
        <f>IF(COUNT(F2,F9,F16,F23)=0,"",N(F2)+N(F9)+N(F16)+N(F23))</f>
        <v/>
      </c>
      <c r="G31" s="29" t="str">
        <f>IF(COUNT(G2,G9,G16,G23)=0,"",N(G2)+N(G9)+N(G16)+N(G23))</f>
        <v/>
      </c>
      <c r="H31" s="29" t="str">
        <f>IF(COUNT(H2,H9,H16,H23)=0,"",N(H2)+N(H9)+N(H16)+N(H23))</f>
        <v/>
      </c>
      <c r="I31" s="29" t="str">
        <f>IF(COUNT(I2,I9,I16,I23)=0,"",N(I2)+N(I9)+N(I16)+N(I23))</f>
        <v/>
      </c>
    </row>
    <row r="33" spans="1:1" ht="14" x14ac:dyDescent="0.15">
      <c r="A33" s="10" t="s">
        <v>157</v>
      </c>
    </row>
    <row r="34" spans="1:1" ht="14" x14ac:dyDescent="0.15">
      <c r="A34" s="10" t="s">
        <v>158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9" customWidth="1"/>
    <col min="2" max="2" width="18.1640625" customWidth="1"/>
    <col min="3" max="3" width="66" customWidth="1"/>
    <col min="4" max="4" width="8" customWidth="1"/>
    <col min="5" max="5" width="11" customWidth="1"/>
    <col min="6" max="9" width="16" customWidth="1"/>
  </cols>
  <sheetData>
    <row r="1" spans="1:9" ht="14" x14ac:dyDescent="0.15">
      <c r="A1" s="29" t="s">
        <v>52</v>
      </c>
      <c r="B1" s="29" t="s">
        <v>132</v>
      </c>
      <c r="C1" s="29" t="s">
        <v>133</v>
      </c>
      <c r="D1" s="29" t="s">
        <v>8</v>
      </c>
      <c r="E1" s="29" t="s">
        <v>134</v>
      </c>
      <c r="F1" s="29" t="s">
        <v>159</v>
      </c>
      <c r="G1" s="29" t="s">
        <v>160</v>
      </c>
      <c r="H1" s="29" t="s">
        <v>161</v>
      </c>
      <c r="I1" s="29" t="s">
        <v>162</v>
      </c>
    </row>
    <row r="2" spans="1:9" ht="14" x14ac:dyDescent="0.15">
      <c r="A2" s="30" t="s">
        <v>31</v>
      </c>
      <c r="B2" s="29" t="s">
        <v>80</v>
      </c>
      <c r="D2" s="29">
        <v>8</v>
      </c>
      <c r="E2" s="29">
        <f>SUM(E3:E8)</f>
        <v>24</v>
      </c>
      <c r="F2" s="29" t="str">
        <f>IF(COUNT(F3:F8)=0,"",SUM(F3:F8))</f>
        <v/>
      </c>
      <c r="G2" s="29" t="str">
        <f>IF(COUNT(G3:G8)=0,"",SUM(G3:G8))</f>
        <v/>
      </c>
      <c r="H2" s="29" t="str">
        <f>IF(COUNT(H3:H8)=0,"",SUM(H3:H8))</f>
        <v/>
      </c>
      <c r="I2" s="29" t="str">
        <f>IF(COUNT(I3:I8)=0,"",SUM(I3:I8))</f>
        <v/>
      </c>
    </row>
    <row r="3" spans="1:9" ht="14" x14ac:dyDescent="0.15">
      <c r="C3" s="30" t="s">
        <v>163</v>
      </c>
      <c r="E3" s="30">
        <v>3</v>
      </c>
    </row>
    <row r="4" spans="1:9" ht="14" x14ac:dyDescent="0.15">
      <c r="C4" s="30" t="s">
        <v>164</v>
      </c>
      <c r="E4" s="30">
        <v>6</v>
      </c>
    </row>
    <row r="5" spans="1:9" ht="14" x14ac:dyDescent="0.15">
      <c r="C5" s="30" t="s">
        <v>165</v>
      </c>
      <c r="E5" s="30">
        <v>6</v>
      </c>
    </row>
    <row r="6" spans="1:9" ht="14" x14ac:dyDescent="0.15">
      <c r="C6" s="30" t="s">
        <v>166</v>
      </c>
      <c r="E6" s="30">
        <v>5</v>
      </c>
    </row>
    <row r="7" spans="1:9" ht="14" x14ac:dyDescent="0.15">
      <c r="C7" s="30" t="s">
        <v>143</v>
      </c>
      <c r="E7" s="30">
        <v>2</v>
      </c>
    </row>
    <row r="8" spans="1:9" ht="14" x14ac:dyDescent="0.15">
      <c r="C8" s="30" t="s">
        <v>144</v>
      </c>
      <c r="E8" s="30">
        <v>2</v>
      </c>
    </row>
    <row r="9" spans="1:9" ht="14" x14ac:dyDescent="0.15">
      <c r="A9" s="30" t="s">
        <v>33</v>
      </c>
      <c r="B9" s="29" t="s">
        <v>85</v>
      </c>
      <c r="D9" s="29">
        <v>5</v>
      </c>
      <c r="E9" s="29">
        <f>SUM(E10:E15)</f>
        <v>18</v>
      </c>
      <c r="F9" s="29" t="str">
        <f>IF(COUNT(F10:F15)=0,"",SUM(F10:F15))</f>
        <v/>
      </c>
      <c r="G9" s="29" t="str">
        <f>IF(COUNT(G10:G15)=0,"",SUM(G10:G15))</f>
        <v/>
      </c>
      <c r="H9" s="29" t="str">
        <f>IF(COUNT(H10:H15)=0,"",SUM(H10:H15))</f>
        <v/>
      </c>
      <c r="I9" s="29" t="str">
        <f>IF(COUNT(I10:I15)=0,"",SUM(I10:I15))</f>
        <v/>
      </c>
    </row>
    <row r="10" spans="1:9" ht="14" x14ac:dyDescent="0.15">
      <c r="C10" s="30" t="s">
        <v>167</v>
      </c>
      <c r="E10" s="30">
        <v>4</v>
      </c>
    </row>
    <row r="11" spans="1:9" ht="14" x14ac:dyDescent="0.15">
      <c r="C11" s="30" t="s">
        <v>168</v>
      </c>
      <c r="E11" s="30">
        <v>5</v>
      </c>
    </row>
    <row r="12" spans="1:9" ht="14" x14ac:dyDescent="0.15">
      <c r="C12" s="30" t="s">
        <v>169</v>
      </c>
      <c r="E12" s="30">
        <v>3</v>
      </c>
    </row>
    <row r="13" spans="1:9" ht="14" x14ac:dyDescent="0.15">
      <c r="C13" s="30" t="s">
        <v>170</v>
      </c>
      <c r="E13" s="30">
        <v>2</v>
      </c>
    </row>
    <row r="14" spans="1:9" ht="14" x14ac:dyDescent="0.15">
      <c r="C14" s="30" t="s">
        <v>143</v>
      </c>
      <c r="E14" s="30">
        <v>2</v>
      </c>
    </row>
    <row r="15" spans="1:9" ht="14" x14ac:dyDescent="0.15">
      <c r="C15" s="30" t="s">
        <v>144</v>
      </c>
      <c r="E15" s="30">
        <v>2</v>
      </c>
    </row>
    <row r="16" spans="1:9" ht="14" x14ac:dyDescent="0.15">
      <c r="A16" s="30" t="s">
        <v>30</v>
      </c>
      <c r="B16" s="29" t="s">
        <v>90</v>
      </c>
      <c r="D16" s="29">
        <v>8</v>
      </c>
      <c r="E16" s="29">
        <f>SUM(E17:E23)</f>
        <v>24</v>
      </c>
      <c r="F16" s="29" t="str">
        <f>IF(COUNT(F17:F23)=0,"",SUM(F17:F23))</f>
        <v/>
      </c>
      <c r="G16" s="29" t="str">
        <f>IF(COUNT(G17:G23)=0,"",SUM(G17:G23))</f>
        <v/>
      </c>
      <c r="H16" s="29" t="str">
        <f>IF(COUNT(H17:H23)=0,"",SUM(H17:H23))</f>
        <v/>
      </c>
      <c r="I16" s="29" t="str">
        <f>IF(COUNT(I17:I23)=0,"",SUM(I17:I23))</f>
        <v/>
      </c>
    </row>
    <row r="17" spans="1:9" ht="14" x14ac:dyDescent="0.15">
      <c r="C17" s="30" t="s">
        <v>171</v>
      </c>
      <c r="E17" s="30">
        <v>3</v>
      </c>
    </row>
    <row r="18" spans="1:9" ht="14" x14ac:dyDescent="0.15">
      <c r="C18" s="30" t="s">
        <v>172</v>
      </c>
      <c r="E18" s="30">
        <v>5</v>
      </c>
    </row>
    <row r="19" spans="1:9" ht="14" x14ac:dyDescent="0.15">
      <c r="C19" s="30" t="s">
        <v>173</v>
      </c>
      <c r="E19" s="30">
        <v>3</v>
      </c>
    </row>
    <row r="20" spans="1:9" ht="14" x14ac:dyDescent="0.15">
      <c r="C20" s="30" t="s">
        <v>174</v>
      </c>
      <c r="E20" s="30">
        <v>5</v>
      </c>
    </row>
    <row r="21" spans="1:9" ht="14" x14ac:dyDescent="0.15">
      <c r="C21" s="30" t="s">
        <v>175</v>
      </c>
      <c r="E21" s="30">
        <v>4</v>
      </c>
    </row>
    <row r="22" spans="1:9" ht="14" x14ac:dyDescent="0.15">
      <c r="C22" s="30" t="s">
        <v>143</v>
      </c>
      <c r="E22" s="30">
        <v>2</v>
      </c>
    </row>
    <row r="23" spans="1:9" ht="14" x14ac:dyDescent="0.15">
      <c r="C23" s="30" t="s">
        <v>144</v>
      </c>
      <c r="E23" s="30">
        <v>2</v>
      </c>
    </row>
    <row r="24" spans="1:9" ht="14" x14ac:dyDescent="0.15">
      <c r="A24" s="30" t="s">
        <v>32</v>
      </c>
      <c r="B24" s="29" t="s">
        <v>96</v>
      </c>
      <c r="D24" s="29">
        <v>5</v>
      </c>
      <c r="E24" s="29">
        <f>SUM(E25:E30)</f>
        <v>20</v>
      </c>
      <c r="F24" s="29" t="str">
        <f>IF(COUNT(F25:F30)=0,"",SUM(F25:F30))</f>
        <v/>
      </c>
      <c r="G24" s="29" t="str">
        <f>IF(COUNT(G25:G30)=0,"",SUM(G25:G30))</f>
        <v/>
      </c>
      <c r="H24" s="29" t="str">
        <f>IF(COUNT(H25:H30)=0,"",SUM(H25:H30))</f>
        <v/>
      </c>
      <c r="I24" s="29" t="str">
        <f>IF(COUNT(I25:I30)=0,"",SUM(I25:I30))</f>
        <v/>
      </c>
    </row>
    <row r="25" spans="1:9" ht="14" x14ac:dyDescent="0.15">
      <c r="C25" s="30" t="s">
        <v>176</v>
      </c>
      <c r="E25" s="30">
        <v>5</v>
      </c>
    </row>
    <row r="26" spans="1:9" ht="14" x14ac:dyDescent="0.15">
      <c r="C26" s="30" t="s">
        <v>177</v>
      </c>
      <c r="E26" s="30">
        <v>5</v>
      </c>
    </row>
    <row r="27" spans="1:9" ht="14" x14ac:dyDescent="0.15">
      <c r="C27" s="30" t="s">
        <v>178</v>
      </c>
      <c r="E27" s="30">
        <v>4</v>
      </c>
    </row>
    <row r="28" spans="1:9" ht="14" x14ac:dyDescent="0.15">
      <c r="C28" s="30" t="s">
        <v>179</v>
      </c>
      <c r="E28" s="30">
        <v>2</v>
      </c>
    </row>
    <row r="29" spans="1:9" ht="14" x14ac:dyDescent="0.15">
      <c r="C29" s="30" t="s">
        <v>143</v>
      </c>
      <c r="E29" s="30">
        <v>2</v>
      </c>
    </row>
    <row r="30" spans="1:9" ht="14" x14ac:dyDescent="0.15">
      <c r="C30" s="30" t="s">
        <v>144</v>
      </c>
      <c r="E30" s="30">
        <v>2</v>
      </c>
    </row>
    <row r="32" spans="1:9" ht="14" x14ac:dyDescent="0.15">
      <c r="A32" s="29" t="s">
        <v>19</v>
      </c>
      <c r="D32" s="29">
        <f>D2+D9+D16+D24</f>
        <v>26</v>
      </c>
      <c r="E32" s="29">
        <f>E2+E9+E16+E24</f>
        <v>86</v>
      </c>
      <c r="F32" s="29" t="str">
        <f>IF(COUNT(F2,F9,F16,F24)=0,"",N(F2)+N(F9)+N(F16)+N(F24))</f>
        <v/>
      </c>
      <c r="G32" s="29" t="str">
        <f>IF(COUNT(G2,G9,G16,G24)=0,"",N(G2)+N(G9)+N(G16)+N(G24))</f>
        <v/>
      </c>
      <c r="H32" s="29" t="str">
        <f>IF(COUNT(H2,H9,H16,H24)=0,"",N(H2)+N(H9)+N(H16)+N(H24))</f>
        <v/>
      </c>
      <c r="I32" s="29" t="str">
        <f>IF(COUNT(I2,I9,I16,I24)=0,"",N(I2)+N(I9)+N(I16)+N(I24))</f>
        <v/>
      </c>
    </row>
    <row r="34" spans="1:1" ht="14" x14ac:dyDescent="0.15">
      <c r="A34" s="10" t="s">
        <v>180</v>
      </c>
    </row>
    <row r="35" spans="1:1" ht="14" x14ac:dyDescent="0.15">
      <c r="A35" s="10" t="s">
        <v>158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9" customWidth="1"/>
    <col min="2" max="2" width="18.1640625" customWidth="1"/>
    <col min="3" max="3" width="66" customWidth="1"/>
    <col min="4" max="4" width="8" customWidth="1"/>
    <col min="5" max="5" width="11" customWidth="1"/>
    <col min="6" max="9" width="16" customWidth="1"/>
  </cols>
  <sheetData>
    <row r="1" spans="1:9" ht="14" x14ac:dyDescent="0.15">
      <c r="A1" s="29" t="s">
        <v>52</v>
      </c>
      <c r="B1" s="29" t="s">
        <v>132</v>
      </c>
      <c r="C1" s="29" t="s">
        <v>133</v>
      </c>
      <c r="D1" s="29" t="s">
        <v>8</v>
      </c>
      <c r="E1" s="29" t="s">
        <v>134</v>
      </c>
      <c r="F1" s="29" t="s">
        <v>181</v>
      </c>
      <c r="G1" s="29" t="s">
        <v>182</v>
      </c>
      <c r="H1" s="29" t="s">
        <v>183</v>
      </c>
      <c r="I1" s="29" t="s">
        <v>184</v>
      </c>
    </row>
    <row r="2" spans="1:9" ht="14" x14ac:dyDescent="0.15">
      <c r="A2" s="30" t="s">
        <v>30</v>
      </c>
      <c r="B2" s="29" t="s">
        <v>103</v>
      </c>
      <c r="D2" s="29">
        <v>8</v>
      </c>
      <c r="E2" s="29">
        <f>SUM(E3:E8)</f>
        <v>23</v>
      </c>
      <c r="F2" s="29" t="str">
        <f>IF(COUNT(F3:F8)=0,"",SUM(F3:F8))</f>
        <v/>
      </c>
      <c r="G2" s="29" t="str">
        <f>IF(COUNT(G3:G8)=0,"",SUM(G3:G8))</f>
        <v/>
      </c>
      <c r="H2" s="29" t="str">
        <f>IF(COUNT(H3:H8)=0,"",SUM(H3:H8))</f>
        <v/>
      </c>
      <c r="I2" s="29" t="str">
        <f>IF(COUNT(I3:I8)=0,"",SUM(I3:I8))</f>
        <v/>
      </c>
    </row>
    <row r="3" spans="1:9" ht="14" x14ac:dyDescent="0.15">
      <c r="C3" s="30" t="s">
        <v>185</v>
      </c>
      <c r="E3" s="30">
        <v>3</v>
      </c>
    </row>
    <row r="4" spans="1:9" ht="14" x14ac:dyDescent="0.15">
      <c r="C4" s="30" t="s">
        <v>186</v>
      </c>
      <c r="E4" s="30">
        <v>6</v>
      </c>
    </row>
    <row r="5" spans="1:9" ht="14" x14ac:dyDescent="0.15">
      <c r="C5" s="30" t="s">
        <v>187</v>
      </c>
      <c r="E5" s="30">
        <v>4</v>
      </c>
    </row>
    <row r="6" spans="1:9" ht="14" x14ac:dyDescent="0.15">
      <c r="C6" s="30" t="s">
        <v>188</v>
      </c>
      <c r="E6" s="30">
        <v>6</v>
      </c>
    </row>
    <row r="7" spans="1:9" ht="14" x14ac:dyDescent="0.15">
      <c r="C7" s="30" t="s">
        <v>143</v>
      </c>
      <c r="E7" s="30">
        <v>2</v>
      </c>
    </row>
    <row r="8" spans="1:9" ht="14" x14ac:dyDescent="0.15">
      <c r="C8" s="30" t="s">
        <v>144</v>
      </c>
      <c r="E8" s="30">
        <v>2</v>
      </c>
    </row>
    <row r="9" spans="1:9" ht="14" x14ac:dyDescent="0.15">
      <c r="A9" s="30" t="s">
        <v>31</v>
      </c>
      <c r="B9" s="29" t="s">
        <v>108</v>
      </c>
      <c r="D9" s="29">
        <v>5</v>
      </c>
      <c r="E9" s="29">
        <f>SUM(E10:E15)</f>
        <v>20</v>
      </c>
      <c r="F9" s="29" t="str">
        <f>IF(COUNT(F10:F15)=0,"",SUM(F10:F15))</f>
        <v/>
      </c>
      <c r="G9" s="29" t="str">
        <f>IF(COUNT(G10:G15)=0,"",SUM(G10:G15))</f>
        <v/>
      </c>
      <c r="H9" s="29" t="str">
        <f>IF(COUNT(H10:H15)=0,"",SUM(H10:H15))</f>
        <v/>
      </c>
      <c r="I9" s="29" t="str">
        <f>IF(COUNT(I10:I15)=0,"",SUM(I10:I15))</f>
        <v/>
      </c>
    </row>
    <row r="10" spans="1:9" ht="14" x14ac:dyDescent="0.15">
      <c r="C10" s="30" t="s">
        <v>189</v>
      </c>
      <c r="E10" s="30">
        <v>4</v>
      </c>
    </row>
    <row r="11" spans="1:9" ht="14" x14ac:dyDescent="0.15">
      <c r="C11" s="30" t="s">
        <v>190</v>
      </c>
      <c r="E11" s="30">
        <v>5</v>
      </c>
    </row>
    <row r="12" spans="1:9" ht="14" x14ac:dyDescent="0.15">
      <c r="C12" s="30" t="s">
        <v>191</v>
      </c>
      <c r="E12" s="30">
        <v>4</v>
      </c>
    </row>
    <row r="13" spans="1:9" ht="14" x14ac:dyDescent="0.15">
      <c r="C13" s="30" t="s">
        <v>192</v>
      </c>
      <c r="E13" s="30">
        <v>3</v>
      </c>
    </row>
    <row r="14" spans="1:9" ht="14" x14ac:dyDescent="0.15">
      <c r="C14" s="30" t="s">
        <v>143</v>
      </c>
      <c r="E14" s="30">
        <v>2</v>
      </c>
    </row>
    <row r="15" spans="1:9" ht="14" x14ac:dyDescent="0.15">
      <c r="C15" s="30" t="s">
        <v>144</v>
      </c>
      <c r="E15" s="30">
        <v>2</v>
      </c>
    </row>
    <row r="16" spans="1:9" ht="14" x14ac:dyDescent="0.15">
      <c r="A16" s="30" t="s">
        <v>33</v>
      </c>
      <c r="B16" s="29" t="s">
        <v>113</v>
      </c>
      <c r="D16" s="29">
        <v>5</v>
      </c>
      <c r="E16" s="29">
        <f>SUM(E17:E22)</f>
        <v>16</v>
      </c>
      <c r="F16" s="29" t="str">
        <f>IF(COUNT(F17:F22)=0,"",SUM(F17:F22))</f>
        <v/>
      </c>
      <c r="G16" s="29" t="str">
        <f>IF(COUNT(G17:G22)=0,"",SUM(G17:G22))</f>
        <v/>
      </c>
      <c r="H16" s="29" t="str">
        <f>IF(COUNT(H17:H22)=0,"",SUM(H17:H22))</f>
        <v/>
      </c>
      <c r="I16" s="29" t="str">
        <f>IF(COUNT(I17:I22)=0,"",SUM(I17:I22))</f>
        <v/>
      </c>
    </row>
    <row r="17" spans="1:9" ht="14" x14ac:dyDescent="0.15">
      <c r="C17" s="30" t="s">
        <v>193</v>
      </c>
      <c r="E17" s="30">
        <v>5</v>
      </c>
    </row>
    <row r="18" spans="1:9" ht="14" x14ac:dyDescent="0.15">
      <c r="C18" s="30" t="s">
        <v>194</v>
      </c>
      <c r="E18" s="30">
        <v>2</v>
      </c>
    </row>
    <row r="19" spans="1:9" ht="14" x14ac:dyDescent="0.15">
      <c r="C19" s="30" t="s">
        <v>195</v>
      </c>
      <c r="E19" s="30">
        <v>2</v>
      </c>
    </row>
    <row r="20" spans="1:9" ht="14" x14ac:dyDescent="0.15">
      <c r="C20" s="30" t="s">
        <v>196</v>
      </c>
      <c r="E20" s="30">
        <v>3</v>
      </c>
    </row>
    <row r="21" spans="1:9" ht="14" x14ac:dyDescent="0.15">
      <c r="C21" s="30" t="s">
        <v>143</v>
      </c>
      <c r="E21" s="30">
        <v>2</v>
      </c>
    </row>
    <row r="22" spans="1:9" ht="14" x14ac:dyDescent="0.15">
      <c r="C22" s="30" t="s">
        <v>144</v>
      </c>
      <c r="E22" s="30">
        <v>2</v>
      </c>
    </row>
    <row r="23" spans="1:9" ht="14" x14ac:dyDescent="0.15">
      <c r="A23" s="30" t="s">
        <v>32</v>
      </c>
      <c r="B23" s="29" t="s">
        <v>118</v>
      </c>
      <c r="D23" s="29">
        <v>5</v>
      </c>
      <c r="E23" s="29">
        <f>SUM(E24:E29)</f>
        <v>20</v>
      </c>
      <c r="F23" s="29" t="str">
        <f>IF(COUNT(F24:F29)=0,"",SUM(F24:F29))</f>
        <v/>
      </c>
      <c r="G23" s="29" t="str">
        <f>IF(COUNT(G24:G29)=0,"",SUM(G24:G29))</f>
        <v/>
      </c>
      <c r="H23" s="29" t="str">
        <f>IF(COUNT(H24:H29)=0,"",SUM(H24:H29))</f>
        <v/>
      </c>
      <c r="I23" s="29" t="str">
        <f>IF(COUNT(I24:I29)=0,"",SUM(I24:I29))</f>
        <v/>
      </c>
    </row>
    <row r="24" spans="1:9" ht="14" x14ac:dyDescent="0.15">
      <c r="C24" s="30" t="s">
        <v>197</v>
      </c>
      <c r="E24" s="30">
        <v>3</v>
      </c>
    </row>
    <row r="25" spans="1:9" ht="14" x14ac:dyDescent="0.15">
      <c r="C25" s="30" t="s">
        <v>198</v>
      </c>
      <c r="E25" s="30">
        <v>5</v>
      </c>
    </row>
    <row r="26" spans="1:9" ht="14" x14ac:dyDescent="0.15">
      <c r="C26" s="30" t="s">
        <v>199</v>
      </c>
      <c r="E26" s="30">
        <v>5</v>
      </c>
    </row>
    <row r="27" spans="1:9" ht="14" x14ac:dyDescent="0.15">
      <c r="C27" s="30" t="s">
        <v>200</v>
      </c>
      <c r="E27" s="30">
        <v>3</v>
      </c>
    </row>
    <row r="28" spans="1:9" ht="14" x14ac:dyDescent="0.15">
      <c r="C28" s="30" t="s">
        <v>143</v>
      </c>
      <c r="E28" s="30">
        <v>2</v>
      </c>
    </row>
    <row r="29" spans="1:9" ht="14" x14ac:dyDescent="0.15">
      <c r="C29" s="30" t="s">
        <v>144</v>
      </c>
      <c r="E29" s="30">
        <v>2</v>
      </c>
    </row>
    <row r="30" spans="1:9" ht="14" x14ac:dyDescent="0.15">
      <c r="A30" s="30" t="s">
        <v>77</v>
      </c>
      <c r="B30" s="29" t="s">
        <v>123</v>
      </c>
      <c r="D30" s="29">
        <v>3</v>
      </c>
      <c r="E30" s="29">
        <f>SUM(E31:E34)</f>
        <v>26</v>
      </c>
      <c r="F30" s="29" t="str">
        <f>IF(COUNT(F31:F34)=0,"",SUM(F31:F34))</f>
        <v/>
      </c>
      <c r="G30" s="29" t="str">
        <f>IF(COUNT(G31:G34)=0,"",SUM(G31:G34))</f>
        <v/>
      </c>
      <c r="H30" s="29" t="str">
        <f>IF(COUNT(H31:H34)=0,"",SUM(H31:H34))</f>
        <v/>
      </c>
      <c r="I30" s="29" t="str">
        <f>IF(COUNT(I31:I34)=0,"",SUM(I31:I34))</f>
        <v/>
      </c>
    </row>
    <row r="31" spans="1:9" ht="14" x14ac:dyDescent="0.15">
      <c r="C31" s="30" t="s">
        <v>201</v>
      </c>
      <c r="E31" s="30">
        <v>8</v>
      </c>
    </row>
    <row r="32" spans="1:9" ht="14" x14ac:dyDescent="0.15">
      <c r="C32" s="30" t="s">
        <v>202</v>
      </c>
      <c r="E32" s="30">
        <v>8</v>
      </c>
    </row>
    <row r="33" spans="1:9" ht="14" x14ac:dyDescent="0.15">
      <c r="C33" s="30" t="s">
        <v>203</v>
      </c>
      <c r="E33" s="30">
        <v>6</v>
      </c>
    </row>
    <row r="34" spans="1:9" ht="14" x14ac:dyDescent="0.15">
      <c r="C34" s="30" t="s">
        <v>204</v>
      </c>
      <c r="E34" s="30">
        <v>4</v>
      </c>
    </row>
    <row r="36" spans="1:9" ht="14" x14ac:dyDescent="0.15">
      <c r="A36" s="29" t="s">
        <v>19</v>
      </c>
      <c r="D36" s="29">
        <f>D2+D9+D16+D23+D30</f>
        <v>26</v>
      </c>
      <c r="E36" s="29">
        <f>E2+E9+E16+E23+E30</f>
        <v>105</v>
      </c>
      <c r="F36" s="29" t="str">
        <f>IF(COUNT(F2,F9,F16,F23,F30)=0,"",N(F2)+N(F9)+N(F16)+N(F23)+N(F30))</f>
        <v/>
      </c>
      <c r="G36" s="29" t="str">
        <f>IF(COUNT(G2,G9,G16,G23,G30)=0,"",N(G2)+N(G9)+N(G16)+N(G23)+N(G30))</f>
        <v/>
      </c>
      <c r="H36" s="29" t="str">
        <f>IF(COUNT(H2,H9,H16,H23,H30)=0,"",N(H2)+N(H9)+N(H16)+N(H23)+N(H30))</f>
        <v/>
      </c>
      <c r="I36" s="29" t="str">
        <f>IF(COUNT(I2,I9,I16,I23,I30)=0,"",N(I2)+N(I9)+N(I16)+N(I23)+N(I30))</f>
        <v/>
      </c>
    </row>
    <row r="38" spans="1:9" ht="14" x14ac:dyDescent="0.15">
      <c r="A38" s="10" t="s">
        <v>205</v>
      </c>
    </row>
    <row r="39" spans="1:9" ht="14" x14ac:dyDescent="0.15">
      <c r="A39" s="10" t="s">
        <v>158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Schedule</vt:lpstr>
      <vt:lpstr>Sprint 1</vt:lpstr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Shah Jalal Mazumder</cp:lastModifiedBy>
  <cp:revision>0</cp:revision>
  <dcterms:created xsi:type="dcterms:W3CDTF">2026-09-29T15:24:10Z</dcterms:created>
  <dcterms:modified xsi:type="dcterms:W3CDTF">2026-09-29T15:28:45Z</dcterms:modified>
  <dc:language>en-US</dc:language>
</cp:coreProperties>
</file>